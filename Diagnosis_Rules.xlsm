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61"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Rogen\Desktop\Expert_system\"/>
    </mc:Choice>
  </mc:AlternateContent>
  <xr:revisionPtr revIDLastSave="0" documentId="13_ncr:1_{00FD2E60-38A9-4C07-8B6B-656466B9C3D6}" xr6:coauthVersionLast="36" xr6:coauthVersionMax="36" xr10:uidLastSave="{00000000-0000-0000-0000-000000000000}"/>
  <bookViews>
    <workbookView xWindow="0" yWindow="0" windowWidth="19440" windowHeight="7725" activeTab="4" xr2:uid="{00000000-000D-0000-FFFF-FFFF00000000}"/>
  </bookViews>
  <sheets>
    <sheet name="SiteEvaluation" sheetId="3" r:id="rId1"/>
    <sheet name="Soils" sheetId="6" r:id="rId2"/>
    <sheet name="Nutrition" sheetId="5" r:id="rId3"/>
    <sheet name="PestDiseases" sheetId="7" r:id="rId4"/>
    <sheet name="Agromet" sheetId="8" r:id="rId5"/>
  </sheets>
  <functionGroups builtInGroupCount="19"/>
  <calcPr calcId="191029"/>
</workbook>
</file>

<file path=xl/calcChain.xml><?xml version="1.0" encoding="utf-8"?>
<calcChain xmlns="http://schemas.openxmlformats.org/spreadsheetml/2006/main">
  <c r="I11" i="3" l="1"/>
  <c r="I12" i="3" s="1"/>
  <c r="I23" i="3" l="1"/>
  <c r="I40" i="6"/>
  <c r="I24" i="3"/>
  <c r="L105" i="6" l="1"/>
  <c r="K105" i="6"/>
  <c r="H105" i="6"/>
  <c r="G105" i="6"/>
  <c r="L99" i="6" l="1"/>
  <c r="K99" i="6"/>
  <c r="H99" i="6"/>
  <c r="G99" i="6"/>
  <c r="L96" i="6"/>
  <c r="K96" i="6"/>
  <c r="H96" i="6"/>
  <c r="G96" i="6"/>
  <c r="J30" i="8" l="1"/>
  <c r="I24" i="8"/>
  <c r="I23" i="8"/>
  <c r="L22" i="8"/>
  <c r="K22" i="8"/>
  <c r="H22" i="8"/>
  <c r="G22" i="8"/>
  <c r="L17" i="8"/>
  <c r="I17" i="8"/>
  <c r="I16" i="8"/>
  <c r="I15" i="8"/>
  <c r="I14" i="8"/>
  <c r="L13" i="8"/>
  <c r="K13" i="8"/>
  <c r="H13" i="8"/>
  <c r="G13" i="8"/>
  <c r="L5" i="8"/>
  <c r="K5" i="8"/>
  <c r="H5" i="8"/>
  <c r="G5" i="8"/>
  <c r="A6" i="8"/>
  <c r="A7" i="8" s="1"/>
  <c r="A8" i="8" s="1"/>
  <c r="A10" i="8" s="1"/>
  <c r="A14" i="8" s="1"/>
  <c r="A15" i="8" s="1"/>
  <c r="A16" i="8" s="1"/>
  <c r="A17" i="8" s="1"/>
  <c r="A19" i="8" s="1"/>
  <c r="A23" i="8" s="1"/>
  <c r="A24" i="8" s="1"/>
  <c r="L2" i="8"/>
  <c r="K2" i="8"/>
  <c r="H2" i="8"/>
  <c r="G2" i="8"/>
  <c r="C60" i="7"/>
  <c r="I60" i="7"/>
  <c r="A25" i="8" l="1"/>
  <c r="A27" i="8" s="1"/>
  <c r="A30" i="8" s="1"/>
  <c r="I14" i="5"/>
  <c r="I15" i="5"/>
  <c r="I16" i="5"/>
  <c r="I17" i="5"/>
  <c r="I27" i="5"/>
  <c r="I130" i="6"/>
  <c r="J32" i="3"/>
  <c r="A6" i="7"/>
  <c r="L111" i="6" l="1"/>
  <c r="K111" i="6"/>
  <c r="H111" i="6"/>
  <c r="G111" i="6"/>
  <c r="I47" i="6"/>
  <c r="I54" i="6"/>
  <c r="I78" i="6"/>
  <c r="I88" i="6"/>
  <c r="I89" i="6"/>
  <c r="I90" i="6"/>
  <c r="I91" i="6"/>
  <c r="I79" i="6"/>
  <c r="I77" i="6"/>
  <c r="I76" i="6"/>
  <c r="I15" i="6"/>
  <c r="I7" i="6"/>
  <c r="I9" i="3"/>
  <c r="I5" i="3"/>
  <c r="C65" i="7"/>
  <c r="C66" i="7"/>
  <c r="C64" i="7"/>
  <c r="C53" i="7"/>
  <c r="C54" i="7"/>
  <c r="C55" i="7"/>
  <c r="C56" i="7"/>
  <c r="C57" i="7"/>
  <c r="C58" i="7"/>
  <c r="C59" i="7"/>
  <c r="C61" i="7"/>
  <c r="C52" i="7"/>
  <c r="C47" i="7"/>
  <c r="C48" i="7"/>
  <c r="C49" i="7"/>
  <c r="C46" i="7"/>
  <c r="C35" i="7"/>
  <c r="C36" i="7"/>
  <c r="C34" i="7"/>
  <c r="C29" i="7"/>
  <c r="C30" i="7"/>
  <c r="C31" i="7"/>
  <c r="C28" i="7"/>
  <c r="C20" i="7"/>
  <c r="C21" i="7"/>
  <c r="C22" i="7"/>
  <c r="C23" i="7"/>
  <c r="C24" i="7"/>
  <c r="C25" i="7"/>
  <c r="C19" i="7"/>
  <c r="C7" i="7"/>
  <c r="C8" i="7"/>
  <c r="C9" i="7"/>
  <c r="C10" i="7"/>
  <c r="C11" i="7"/>
  <c r="C12" i="7"/>
  <c r="C13" i="7"/>
  <c r="C14" i="7"/>
  <c r="C15" i="7"/>
  <c r="C16" i="7"/>
  <c r="C6" i="7"/>
  <c r="I16" i="6"/>
  <c r="I15" i="3"/>
  <c r="I137" i="6"/>
  <c r="L135" i="6" l="1"/>
  <c r="K135" i="6"/>
  <c r="H135" i="6"/>
  <c r="G135" i="6"/>
  <c r="L126" i="6"/>
  <c r="K126" i="6"/>
  <c r="H126" i="6"/>
  <c r="G126" i="6"/>
  <c r="I9" i="6"/>
  <c r="I81" i="6"/>
  <c r="I28" i="5"/>
  <c r="I58" i="7"/>
  <c r="L86" i="6"/>
  <c r="K86" i="6"/>
  <c r="H86" i="6"/>
  <c r="G86" i="6"/>
  <c r="I61" i="7"/>
  <c r="I16" i="7"/>
  <c r="I19" i="3"/>
  <c r="I13" i="3"/>
  <c r="I17" i="6" l="1"/>
  <c r="I75" i="6" l="1"/>
  <c r="I15" i="7" l="1"/>
  <c r="J34" i="5"/>
  <c r="A6" i="5"/>
  <c r="A7" i="5" s="1"/>
  <c r="I26" i="5"/>
  <c r="J145" i="6" l="1"/>
  <c r="I63" i="6"/>
  <c r="I69" i="6"/>
  <c r="I37" i="6"/>
  <c r="A6" i="6"/>
  <c r="I36" i="6"/>
  <c r="I29" i="6"/>
  <c r="I28" i="6"/>
  <c r="I27" i="6"/>
  <c r="L35" i="6"/>
  <c r="K35" i="6"/>
  <c r="H35" i="6"/>
  <c r="G35" i="6"/>
  <c r="L62" i="6" l="1"/>
  <c r="K62" i="6"/>
  <c r="H62" i="6"/>
  <c r="G62" i="6"/>
  <c r="L45" i="6"/>
  <c r="K45" i="6"/>
  <c r="H45" i="6"/>
  <c r="G45" i="6"/>
  <c r="L25" i="6"/>
  <c r="K25" i="6"/>
  <c r="H25" i="6"/>
  <c r="G25" i="6"/>
  <c r="L74" i="6"/>
  <c r="K74" i="6"/>
  <c r="H74" i="6"/>
  <c r="G74" i="6"/>
  <c r="I48" i="6"/>
  <c r="I66" i="6"/>
  <c r="L53" i="6"/>
  <c r="K53" i="6"/>
  <c r="H53" i="6"/>
  <c r="G53" i="6"/>
  <c r="I8" i="6" l="1"/>
  <c r="A5" i="3"/>
  <c r="A6" i="3" s="1"/>
  <c r="A9" i="3" s="1"/>
  <c r="A10" i="3" s="1"/>
  <c r="A11" i="3" s="1"/>
  <c r="A12" i="3" s="1"/>
  <c r="A13" i="3" s="1"/>
  <c r="A14" i="3" l="1"/>
  <c r="A15" i="3" s="1"/>
  <c r="I10" i="7"/>
  <c r="A16" i="3" l="1"/>
  <c r="A19" i="3" s="1"/>
  <c r="A20" i="3" s="1"/>
  <c r="A21" i="3" s="1"/>
  <c r="A22" i="3" s="1"/>
  <c r="A23" i="3" s="1"/>
  <c r="A24" i="3" s="1"/>
  <c r="A25" i="3" s="1"/>
  <c r="A26" i="3" s="1"/>
  <c r="A29" i="3" s="1"/>
  <c r="A32" i="3" s="1"/>
  <c r="I65" i="7"/>
  <c r="I66" i="7"/>
  <c r="I53" i="7"/>
  <c r="I54" i="7"/>
  <c r="I55" i="7"/>
  <c r="I56" i="7"/>
  <c r="I57" i="7"/>
  <c r="I59" i="7"/>
  <c r="I47" i="7"/>
  <c r="I48" i="7"/>
  <c r="I49" i="7"/>
  <c r="I35" i="7"/>
  <c r="I36" i="7"/>
  <c r="I29" i="7"/>
  <c r="I30" i="7"/>
  <c r="I31" i="7"/>
  <c r="I25" i="7"/>
  <c r="I20" i="7"/>
  <c r="I21" i="7"/>
  <c r="I22" i="7"/>
  <c r="I23" i="7"/>
  <c r="I24" i="7"/>
  <c r="I7" i="7"/>
  <c r="I8" i="7"/>
  <c r="I9" i="7"/>
  <c r="I11" i="7"/>
  <c r="I12" i="7"/>
  <c r="I13" i="7"/>
  <c r="I14" i="7"/>
  <c r="I24" i="5"/>
  <c r="I25" i="5"/>
  <c r="I20" i="5"/>
  <c r="I21" i="5"/>
  <c r="I7" i="5"/>
  <c r="I8" i="5"/>
  <c r="I9" i="5"/>
  <c r="I10" i="5"/>
  <c r="I11" i="5"/>
  <c r="I12" i="5"/>
  <c r="I13" i="5"/>
  <c r="I26" i="6"/>
  <c r="I64" i="6"/>
  <c r="I65" i="6"/>
  <c r="I67" i="6"/>
  <c r="I6" i="6"/>
  <c r="G71" i="7"/>
  <c r="H63" i="7"/>
  <c r="G63" i="7"/>
  <c r="H62" i="7"/>
  <c r="G62" i="7"/>
  <c r="H51" i="7"/>
  <c r="G51" i="7"/>
  <c r="H50" i="7"/>
  <c r="G50" i="7"/>
  <c r="H45" i="7"/>
  <c r="G45" i="7"/>
  <c r="H42" i="7"/>
  <c r="G42" i="7"/>
  <c r="H33" i="7"/>
  <c r="G33" i="7"/>
  <c r="H32" i="7"/>
  <c r="G32" i="7"/>
  <c r="H27" i="7"/>
  <c r="G27" i="7"/>
  <c r="H26" i="7"/>
  <c r="G26" i="7"/>
  <c r="H18" i="7"/>
  <c r="G18" i="7"/>
  <c r="H17" i="7"/>
  <c r="G17" i="7"/>
  <c r="L14" i="7"/>
  <c r="L11" i="7"/>
  <c r="A7" i="7"/>
  <c r="A8" i="7" s="1"/>
  <c r="A9" i="7" s="1"/>
  <c r="A10" i="7" s="1"/>
  <c r="A11" i="7" s="1"/>
  <c r="A12" i="7" s="1"/>
  <c r="A13" i="7" s="1"/>
  <c r="A14" i="7" s="1"/>
  <c r="A15" i="7" s="1"/>
  <c r="A16" i="7" s="1"/>
  <c r="A19" i="7" s="1"/>
  <c r="L6" i="7"/>
  <c r="L5" i="7"/>
  <c r="H5" i="7"/>
  <c r="G5" i="7"/>
  <c r="L2" i="7"/>
  <c r="H2" i="7"/>
  <c r="G2" i="7"/>
  <c r="A20" i="7" l="1"/>
  <c r="A21" i="7" s="1"/>
  <c r="A22" i="7" s="1"/>
  <c r="A23" i="7" s="1"/>
  <c r="A24" i="7" s="1"/>
  <c r="A25" i="7" s="1"/>
  <c r="G2" i="6"/>
  <c r="H2" i="6"/>
  <c r="I2" i="6"/>
  <c r="K2" i="6"/>
  <c r="L2" i="6"/>
  <c r="G5" i="6"/>
  <c r="H5" i="6"/>
  <c r="K5" i="6"/>
  <c r="L5" i="6"/>
  <c r="G22" i="6"/>
  <c r="H22" i="6"/>
  <c r="K22" i="6"/>
  <c r="L22" i="6"/>
  <c r="G114" i="6"/>
  <c r="H114" i="6"/>
  <c r="K114" i="6"/>
  <c r="L114" i="6"/>
  <c r="A28" i="7" l="1"/>
  <c r="A29" i="7" s="1"/>
  <c r="A30" i="7" s="1"/>
  <c r="A31" i="7" s="1"/>
  <c r="L19" i="5"/>
  <c r="K19" i="5"/>
  <c r="H19" i="5"/>
  <c r="G19" i="5"/>
  <c r="L11" i="5"/>
  <c r="K11" i="5"/>
  <c r="A8" i="5"/>
  <c r="A9" i="5" s="1"/>
  <c r="A10" i="5" s="1"/>
  <c r="A11" i="5" s="1"/>
  <c r="A12" i="5" s="1"/>
  <c r="A13" i="5" s="1"/>
  <c r="A14" i="5" s="1"/>
  <c r="L5" i="5"/>
  <c r="K5" i="5"/>
  <c r="H5" i="5"/>
  <c r="G5" i="5"/>
  <c r="L4" i="5"/>
  <c r="K4" i="5"/>
  <c r="H4" i="5"/>
  <c r="G4" i="5"/>
  <c r="L3" i="5"/>
  <c r="K3" i="5"/>
  <c r="L2" i="5"/>
  <c r="K2" i="5"/>
  <c r="I2" i="5"/>
  <c r="H2" i="5"/>
  <c r="G2" i="5"/>
  <c r="A15" i="5" l="1"/>
  <c r="A16" i="5" s="1"/>
  <c r="A17" i="5" s="1"/>
  <c r="A20" i="5" s="1"/>
  <c r="A21" i="5" s="1"/>
  <c r="A24" i="5" s="1"/>
  <c r="A34" i="7"/>
  <c r="A35" i="7" s="1"/>
  <c r="A36" i="7" s="1"/>
  <c r="A39" i="7" s="1"/>
  <c r="H2" i="3"/>
  <c r="G2" i="3"/>
  <c r="A43" i="7" l="1"/>
  <c r="A46" i="7" s="1"/>
  <c r="A47" i="7" s="1"/>
  <c r="A48" i="7" s="1"/>
  <c r="A49" i="7" s="1"/>
  <c r="A52" i="7" s="1"/>
  <c r="A53" i="7" s="1"/>
  <c r="A54" i="7" s="1"/>
  <c r="A55" i="7" s="1"/>
  <c r="A56" i="7" s="1"/>
  <c r="A57" i="7" s="1"/>
  <c r="A58" i="7" s="1"/>
  <c r="A59" i="7" s="1"/>
  <c r="A60" i="7" l="1"/>
  <c r="A61" i="7" s="1"/>
  <c r="A64" i="7" s="1"/>
  <c r="A65" i="7" s="1"/>
  <c r="A66" i="7" s="1"/>
  <c r="A69" i="7" s="1"/>
  <c r="A72" i="7" s="1"/>
  <c r="A25" i="5"/>
  <c r="A26" i="5" s="1"/>
  <c r="A27" i="5" s="1"/>
  <c r="A28" i="5" s="1"/>
  <c r="A7" i="6"/>
  <c r="A8" i="6" s="1"/>
  <c r="A9" i="6" l="1"/>
  <c r="A11" i="6" s="1"/>
  <c r="A15" i="6" s="1"/>
  <c r="A16" i="6" s="1"/>
  <c r="A17" i="6" s="1"/>
  <c r="A19" i="6" s="1"/>
  <c r="A23" i="6" s="1"/>
  <c r="A31" i="5"/>
  <c r="A34" i="5" s="1"/>
  <c r="A26" i="6" l="1"/>
  <c r="A27" i="6" s="1"/>
  <c r="A28" i="6" s="1"/>
  <c r="A29" i="6" s="1"/>
  <c r="A30" i="6" s="1"/>
  <c r="A32" i="6" s="1"/>
  <c r="A36" i="6" l="1"/>
  <c r="A37" i="6" l="1"/>
  <c r="A38" i="6" l="1"/>
  <c r="A39" i="6" l="1"/>
  <c r="A40" i="6" s="1"/>
  <c r="A42" i="6" s="1"/>
  <c r="A46" i="6" s="1"/>
  <c r="A47" i="6" s="1"/>
  <c r="A48" i="6" s="1"/>
  <c r="A50" i="6" s="1"/>
  <c r="A55" i="6" l="1"/>
  <c r="A54" i="6" s="1"/>
  <c r="A56" i="6" s="1"/>
  <c r="A57" i="6" s="1"/>
  <c r="A59" i="6" s="1"/>
  <c r="A63" i="6" s="1"/>
  <c r="A64" i="6" s="1"/>
  <c r="A65" i="6" s="1"/>
  <c r="A66" i="6" s="1"/>
  <c r="A67" i="6" s="1"/>
  <c r="A68" i="6" s="1"/>
  <c r="A69" i="6" s="1"/>
  <c r="A71" i="6" s="1"/>
  <c r="A75" i="6" s="1"/>
  <c r="A76" i="6" s="1"/>
  <c r="A77" i="6" s="1"/>
  <c r="A78" i="6" s="1"/>
  <c r="A79" i="6" l="1"/>
  <c r="A80" i="6" s="1"/>
  <c r="A81" i="6" s="1"/>
  <c r="A83" i="6" s="1"/>
  <c r="A87" i="6" s="1"/>
  <c r="A88" i="6" s="1"/>
  <c r="A89" i="6" s="1"/>
  <c r="A90" i="6" s="1"/>
  <c r="A91" i="6" s="1"/>
  <c r="A93" i="6" s="1"/>
  <c r="A97" i="6" s="1"/>
  <c r="A100" i="6" s="1"/>
  <c r="A102" i="6" s="1"/>
  <c r="A106" i="6" s="1"/>
  <c r="A108" i="6" s="1"/>
  <c r="A112" i="6" s="1"/>
  <c r="A115" i="6" l="1"/>
  <c r="A116" i="6" s="1"/>
  <c r="A117" i="6" s="1"/>
  <c r="A118" i="6" s="1"/>
  <c r="A119" i="6" s="1"/>
  <c r="A120" i="6" s="1"/>
  <c r="A121" i="6" s="1"/>
  <c r="A123" i="6" s="1"/>
  <c r="A127" i="6" s="1"/>
  <c r="A128" i="6" s="1"/>
  <c r="A129" i="6" s="1"/>
  <c r="A130" i="6" s="1"/>
  <c r="A132" i="6" s="1"/>
  <c r="A136" i="6" s="1"/>
  <c r="A137" i="6" s="1"/>
  <c r="A138" i="6" s="1"/>
  <c r="A139" i="6" s="1"/>
  <c r="A140" i="6" s="1"/>
  <c r="A142" i="6" s="1"/>
  <c r="A145" i="6" s="1"/>
</calcChain>
</file>

<file path=xl/sharedStrings.xml><?xml version="1.0" encoding="utf-8"?>
<sst xmlns="http://schemas.openxmlformats.org/spreadsheetml/2006/main" count="1701" uniqueCount="1208">
  <si>
    <t>Rule</t>
  </si>
  <si>
    <t>Node</t>
  </si>
  <si>
    <t>Question</t>
  </si>
  <si>
    <t>Yes</t>
  </si>
  <si>
    <t>No</t>
  </si>
  <si>
    <t>Yes_score</t>
  </si>
  <si>
    <t>No_score</t>
  </si>
  <si>
    <t>Pictures</t>
  </si>
  <si>
    <t>#1101</t>
  </si>
  <si>
    <t>#1102</t>
  </si>
  <si>
    <t>#1301</t>
  </si>
  <si>
    <t>Max Possible</t>
  </si>
  <si>
    <t>Rule</t>
    <phoneticPr fontId="1" type="noConversion"/>
  </si>
  <si>
    <t>Node</t>
    <phoneticPr fontId="1" type="noConversion"/>
  </si>
  <si>
    <t>Yes</t>
    <phoneticPr fontId="1" type="noConversion"/>
  </si>
  <si>
    <t>No</t>
    <phoneticPr fontId="1" type="noConversion"/>
  </si>
  <si>
    <t>Yes_score</t>
    <phoneticPr fontId="1" type="noConversion"/>
  </si>
  <si>
    <t>No_score</t>
    <phoneticPr fontId="1" type="noConversion"/>
  </si>
  <si>
    <t>Pictures</t>
    <phoneticPr fontId="1" type="noConversion"/>
  </si>
  <si>
    <t>#1101</t>
    <phoneticPr fontId="1" type="noConversion"/>
  </si>
  <si>
    <t>#1201</t>
    <phoneticPr fontId="1" type="noConversion"/>
  </si>
  <si>
    <t>#1100</t>
    <phoneticPr fontId="1" type="noConversion"/>
  </si>
  <si>
    <t>Max Possible</t>
    <phoneticPr fontId="1" type="noConversion"/>
  </si>
  <si>
    <t>#1201</t>
    <phoneticPr fontId="1" type="noConversion"/>
  </si>
  <si>
    <t>#1202</t>
    <phoneticPr fontId="1" type="noConversion"/>
  </si>
  <si>
    <t>#1301</t>
    <phoneticPr fontId="1" type="noConversion"/>
  </si>
  <si>
    <t>#1304</t>
    <phoneticPr fontId="1" type="noConversion"/>
  </si>
  <si>
    <t>end of disgnosis</t>
    <phoneticPr fontId="1" type="noConversion"/>
  </si>
  <si>
    <t>#2</t>
    <phoneticPr fontId="1" type="noConversion"/>
  </si>
  <si>
    <t>#1101</t>
    <phoneticPr fontId="1" type="noConversion"/>
  </si>
  <si>
    <t>No</t>
    <phoneticPr fontId="1" type="noConversion"/>
  </si>
  <si>
    <t>Node</t>
    <phoneticPr fontId="1" type="noConversion"/>
  </si>
  <si>
    <t>#1102</t>
    <phoneticPr fontId="1" type="noConversion"/>
  </si>
  <si>
    <t>#1105</t>
    <phoneticPr fontId="1" type="noConversion"/>
  </si>
  <si>
    <t>#1402</t>
    <phoneticPr fontId="1" type="noConversion"/>
  </si>
  <si>
    <t>#2102</t>
    <phoneticPr fontId="1" type="noConversion"/>
  </si>
  <si>
    <t>#2201</t>
    <phoneticPr fontId="1" type="noConversion"/>
  </si>
  <si>
    <t>#2202</t>
    <phoneticPr fontId="1" type="noConversion"/>
  </si>
  <si>
    <t>#2301</t>
    <phoneticPr fontId="1" type="noConversion"/>
  </si>
  <si>
    <t>#2205</t>
    <phoneticPr fontId="1" type="noConversion"/>
  </si>
  <si>
    <t>#2207</t>
    <phoneticPr fontId="1" type="noConversion"/>
  </si>
  <si>
    <t>#2302</t>
    <phoneticPr fontId="1" type="noConversion"/>
  </si>
  <si>
    <t>Unknown</t>
    <phoneticPr fontId="1" type="noConversion"/>
  </si>
  <si>
    <t>Unknown</t>
    <phoneticPr fontId="1" type="noConversion"/>
  </si>
  <si>
    <t>Main Branch 1, Secondary Branch 1: UAV image(s) analysis</t>
    <phoneticPr fontId="1" type="noConversion"/>
  </si>
  <si>
    <t>#1201</t>
    <phoneticPr fontId="1" type="noConversion"/>
  </si>
  <si>
    <t>Main Branch 1, Secondary Branch 2: Satellite Image(s) analysis</t>
    <phoneticPr fontId="1" type="noConversion"/>
  </si>
  <si>
    <t>#1211</t>
    <phoneticPr fontId="1" type="noConversion"/>
  </si>
  <si>
    <t>#1212</t>
    <phoneticPr fontId="1" type="noConversion"/>
  </si>
  <si>
    <t>#1231</t>
    <phoneticPr fontId="1" type="noConversion"/>
  </si>
  <si>
    <t>Main Branch 1, Secondary Branch 3: On-site observation and evaluation</t>
    <phoneticPr fontId="1" type="noConversion"/>
  </si>
  <si>
    <t>#1321</t>
    <phoneticPr fontId="1" type="noConversion"/>
  </si>
  <si>
    <t>#1342</t>
    <phoneticPr fontId="1" type="noConversion"/>
  </si>
  <si>
    <t>#1000</t>
    <phoneticPr fontId="1" type="noConversion"/>
  </si>
  <si>
    <r>
      <rPr>
        <sz val="10"/>
        <color theme="1"/>
        <rFont val="新細明體"/>
        <family val="1"/>
        <charset val="136"/>
      </rPr>
      <t>中文問題</t>
    </r>
  </si>
  <si>
    <r>
      <t>Yes</t>
    </r>
    <r>
      <rPr>
        <sz val="10"/>
        <color theme="1"/>
        <rFont val="新細明體"/>
        <family val="2"/>
        <charset val="136"/>
      </rPr>
      <t>診斷</t>
    </r>
  </si>
  <si>
    <r>
      <t>No</t>
    </r>
    <r>
      <rPr>
        <sz val="10"/>
        <color theme="1"/>
        <rFont val="新細明體"/>
        <family val="2"/>
        <charset val="136"/>
      </rPr>
      <t>診斷</t>
    </r>
  </si>
  <si>
    <r>
      <rPr>
        <sz val="10"/>
        <color rgb="FFFF0000"/>
        <rFont val="新細明體"/>
        <family val="1"/>
        <charset val="136"/>
      </rPr>
      <t>衛星歷史影像分析</t>
    </r>
    <phoneticPr fontId="1" type="noConversion"/>
  </si>
  <si>
    <r>
      <rPr>
        <sz val="10"/>
        <color theme="1"/>
        <rFont val="新細明體"/>
        <family val="2"/>
        <charset val="136"/>
      </rPr>
      <t>茶園內茶樹的缺水程度有不均一的現象。</t>
    </r>
    <phoneticPr fontId="1" type="noConversion"/>
  </si>
  <si>
    <r>
      <rPr>
        <sz val="10"/>
        <color theme="1"/>
        <rFont val="新細明體"/>
        <family val="1"/>
        <charset val="136"/>
      </rPr>
      <t>是</t>
    </r>
  </si>
  <si>
    <r>
      <rPr>
        <sz val="10"/>
        <color theme="1"/>
        <rFont val="新細明體"/>
        <family val="1"/>
        <charset val="136"/>
      </rPr>
      <t>否</t>
    </r>
  </si>
  <si>
    <t>Suitability to conduct problematic soil diagnosis services</t>
    <phoneticPr fontId="1" type="noConversion"/>
  </si>
  <si>
    <r>
      <rPr>
        <sz val="10"/>
        <color rgb="FFFF0000"/>
        <rFont val="新細明體"/>
        <family val="1"/>
        <charset val="136"/>
      </rPr>
      <t>是否適合繼續進行問題土壤診斷服務？</t>
    </r>
    <phoneticPr fontId="1" type="noConversion"/>
  </si>
  <si>
    <r>
      <rPr>
        <sz val="10"/>
        <color rgb="FFFF0000"/>
        <rFont val="新細明體"/>
        <family val="1"/>
        <charset val="136"/>
      </rPr>
      <t>比例</t>
    </r>
    <phoneticPr fontId="1" type="noConversion"/>
  </si>
  <si>
    <t>#1321</t>
    <phoneticPr fontId="1" type="noConversion"/>
  </si>
  <si>
    <r>
      <rPr>
        <sz val="10"/>
        <color theme="1"/>
        <rFont val="新細明體"/>
        <family val="1"/>
        <charset val="136"/>
      </rPr>
      <t>中文問題</t>
    </r>
    <phoneticPr fontId="1" type="noConversion"/>
  </si>
  <si>
    <r>
      <t>Yes</t>
    </r>
    <r>
      <rPr>
        <sz val="10"/>
        <color theme="1"/>
        <rFont val="新細明體"/>
        <family val="2"/>
        <charset val="136"/>
      </rPr>
      <t>診斷</t>
    </r>
    <phoneticPr fontId="1" type="noConversion"/>
  </si>
  <si>
    <r>
      <t>No</t>
    </r>
    <r>
      <rPr>
        <sz val="10"/>
        <color theme="1"/>
        <rFont val="新細明體"/>
        <family val="2"/>
        <charset val="136"/>
      </rPr>
      <t>診斷</t>
    </r>
    <phoneticPr fontId="1" type="noConversion"/>
  </si>
  <si>
    <t>Max Possible</t>
    <phoneticPr fontId="1" type="noConversion"/>
  </si>
  <si>
    <t>Production damaged by Cold stress</t>
    <phoneticPr fontId="1" type="noConversion"/>
  </si>
  <si>
    <t>Production damaged by drought stress</t>
    <phoneticPr fontId="1" type="noConversion"/>
  </si>
  <si>
    <t>處理對策</t>
    <phoneticPr fontId="1" type="noConversion"/>
  </si>
  <si>
    <t>Main Branch 1:  Trees Missing or Wilting (whole plant) Diagnosis</t>
    <phoneticPr fontId="1" type="noConversion"/>
  </si>
  <si>
    <t>#2103</t>
    <phoneticPr fontId="1" type="noConversion"/>
  </si>
  <si>
    <t>#2104</t>
    <phoneticPr fontId="1" type="noConversion"/>
  </si>
  <si>
    <t>#2203</t>
    <phoneticPr fontId="1" type="noConversion"/>
  </si>
  <si>
    <t>end of diagnosis</t>
    <phoneticPr fontId="1" type="noConversion"/>
  </si>
  <si>
    <t>有日照不足問題</t>
    <phoneticPr fontId="1" type="noConversion"/>
  </si>
  <si>
    <t>診斷是否受到低溫傷害</t>
    <phoneticPr fontId="1" type="noConversion"/>
  </si>
  <si>
    <t>產量受到低溫影響</t>
    <phoneticPr fontId="1" type="noConversion"/>
  </si>
  <si>
    <t>長期降雨(陰天)導致日照減少而影響產量。</t>
    <phoneticPr fontId="1" type="noConversion"/>
  </si>
  <si>
    <t>Symptoms occcurred at depression spots or drainage path ?</t>
    <phoneticPr fontId="1" type="noConversion"/>
  </si>
  <si>
    <t>#1103</t>
    <phoneticPr fontId="1" type="noConversion"/>
  </si>
  <si>
    <t>May have Insufficient Sunshine problems</t>
    <phoneticPr fontId="1" type="noConversion"/>
  </si>
  <si>
    <t>Main Branch 4, Secondary Branch 1: Insufficient Sunshine Diagnosis</t>
    <phoneticPr fontId="1" type="noConversion"/>
  </si>
  <si>
    <t>#0</t>
    <phoneticPr fontId="1" type="noConversion"/>
  </si>
  <si>
    <t>有降雨可補充土壤水分。</t>
    <phoneticPr fontId="1" type="noConversion"/>
  </si>
  <si>
    <t>可透過灌溉補充所需水分。</t>
    <phoneticPr fontId="1" type="noConversion"/>
  </si>
  <si>
    <t>未經歷低溫。</t>
    <phoneticPr fontId="1" type="noConversion"/>
  </si>
  <si>
    <t>未經歷長期連續雨天或陰天。</t>
    <phoneticPr fontId="1" type="noConversion"/>
  </si>
  <si>
    <t>茶園不是位於北向陡坡。</t>
    <phoneticPr fontId="1" type="noConversion"/>
  </si>
  <si>
    <t>茶園南邊沒有高大樹(竹)林。</t>
    <phoneticPr fontId="1" type="noConversion"/>
  </si>
  <si>
    <r>
      <t>40cm</t>
    </r>
    <r>
      <rPr>
        <sz val="10"/>
        <color theme="1"/>
        <rFont val="新細明體"/>
        <family val="2"/>
        <charset val="136"/>
      </rPr>
      <t>內未出現鏽斑。</t>
    </r>
    <phoneticPr fontId="1" type="noConversion"/>
  </si>
  <si>
    <t>採收前有長期連續雨天或陰天？</t>
    <phoneticPr fontId="1" type="noConversion"/>
  </si>
  <si>
    <t>植冠外側葉片變小，內側仍保持正常？</t>
    <phoneticPr fontId="1" type="noConversion"/>
  </si>
  <si>
    <t>成葉邊緣褐變，葉片呈現紫褐色，嫩葉出現凍害斑點？</t>
    <phoneticPr fontId="1" type="noConversion"/>
  </si>
  <si>
    <t>對開葉比例增多？</t>
    <phoneticPr fontId="1" type="noConversion"/>
  </si>
  <si>
    <t>沒有噴灌措施或灌溉水源(量)不夠？</t>
    <phoneticPr fontId="1" type="noConversion"/>
  </si>
  <si>
    <t>Symptoms appeared after long drought ?</t>
    <phoneticPr fontId="1" type="noConversion"/>
  </si>
  <si>
    <t>No sprinkle irrigation sysyem or inadequate water supply ?</t>
    <phoneticPr fontId="1" type="noConversion"/>
  </si>
  <si>
    <t>Symptoms appeared after low temperature ?</t>
    <phoneticPr fontId="1" type="noConversion"/>
  </si>
  <si>
    <t>Smaller leaves on outer side of the row, but normal on inner side ?</t>
    <phoneticPr fontId="1" type="noConversion"/>
  </si>
  <si>
    <t>Having many rainy or cloudy days before harvest ?</t>
    <phoneticPr fontId="1" type="noConversion"/>
  </si>
  <si>
    <t>Sunshine blocked by tall trees (bamboos) at south edge ?</t>
    <phoneticPr fontId="1" type="noConversion"/>
  </si>
  <si>
    <t>Located at steep north facing slope ?</t>
    <phoneticPr fontId="1" type="noConversion"/>
  </si>
  <si>
    <t xml:space="preserve"> </t>
    <phoneticPr fontId="1" type="noConversion"/>
  </si>
  <si>
    <t>地形可能導致日照不足。</t>
    <phoneticPr fontId="1" type="noConversion"/>
  </si>
  <si>
    <t>產量可能受到冷害影響。</t>
    <phoneticPr fontId="1" type="noConversion"/>
  </si>
  <si>
    <t>產量受到霜害影響。</t>
    <phoneticPr fontId="1" type="noConversion"/>
  </si>
  <si>
    <t>#1106</t>
    <phoneticPr fontId="1" type="noConversion"/>
  </si>
  <si>
    <t>#1108</t>
    <phoneticPr fontId="1" type="noConversion"/>
  </si>
  <si>
    <t>#1110</t>
    <phoneticPr fontId="1" type="noConversion"/>
  </si>
  <si>
    <t>#1303</t>
    <phoneticPr fontId="1" type="noConversion"/>
  </si>
  <si>
    <t>Main Branch 1:  Nutrient Deficiency / Toxicity Diagnosis</t>
    <phoneticPr fontId="1" type="noConversion"/>
  </si>
  <si>
    <t>Conducting Nutrient Deficiency / Toxicity Diagnosis based on leaf observation ?</t>
    <phoneticPr fontId="1" type="noConversion"/>
  </si>
  <si>
    <t>Main Branch 1, Secondary Branch 1: Old / Lower Leaves Symptom Diagnosis</t>
    <phoneticPr fontId="1" type="noConversion"/>
  </si>
  <si>
    <t>Old leaves existed ?</t>
    <phoneticPr fontId="1" type="noConversion"/>
  </si>
  <si>
    <t>Leaves appear light green or yellow but without necrotic spotting ?</t>
    <phoneticPr fontId="1" type="noConversion"/>
  </si>
  <si>
    <t>Leaves are small but thick, and dark green ?</t>
    <phoneticPr fontId="1" type="noConversion"/>
  </si>
  <si>
    <t>Leaves appear dark green or even purple to red color ?</t>
    <phoneticPr fontId="1" type="noConversion"/>
  </si>
  <si>
    <t>Leaves light green, sometimes scorched, cupped or rolled, and with necrotic spots ?</t>
    <phoneticPr fontId="1" type="noConversion"/>
  </si>
  <si>
    <t>Clorosis, burning, curling appeared at leaf tip and margin ?</t>
    <phoneticPr fontId="1" type="noConversion"/>
  </si>
  <si>
    <t>Brown spots appeared at leaf tip or become dark brown leaf ?</t>
    <phoneticPr fontId="1" type="noConversion"/>
  </si>
  <si>
    <t>With interveinal chlorosis; leaves sometimes have red or nectrotic spots ?</t>
    <phoneticPr fontId="1" type="noConversion"/>
  </si>
  <si>
    <t>Chlorotic areas with burning margins; spotting sometimes along leaf margins ?</t>
    <phoneticPr fontId="1" type="noConversion"/>
  </si>
  <si>
    <t>Distinct chlorotic and nectrotic lesions (spotting) with abrupt boundary between dead and live tissue ?</t>
    <phoneticPr fontId="1" type="noConversion"/>
  </si>
  <si>
    <t>Leaves of terminal bud chlorosis, become light green at base, twisted, brittle and dying back ?</t>
    <phoneticPr fontId="1" type="noConversion"/>
  </si>
  <si>
    <t>Leaves of terminal bud typically hooked at first, finally turning brown and dying back ?</t>
    <phoneticPr fontId="1" type="noConversion"/>
  </si>
  <si>
    <t>Young leaves light green; typically no chlorotic spotting or striping ?</t>
    <phoneticPr fontId="1" type="noConversion"/>
  </si>
  <si>
    <t>Chlorosis of young leaves; tips appear withered and eventually die ?</t>
    <phoneticPr fontId="1" type="noConversion"/>
  </si>
  <si>
    <t>Sharp distinction between veins and chlorotic areas ?</t>
    <phoneticPr fontId="1" type="noConversion"/>
  </si>
  <si>
    <t>Unknown</t>
    <phoneticPr fontId="1" type="noConversion"/>
  </si>
  <si>
    <t>Main Branch 1:  Pest Diagnosis</t>
    <phoneticPr fontId="1" type="noConversion"/>
  </si>
  <si>
    <t>#1107</t>
    <phoneticPr fontId="1" type="noConversion"/>
  </si>
  <si>
    <t>#1109</t>
    <phoneticPr fontId="1" type="noConversion"/>
  </si>
  <si>
    <t>#1203</t>
    <phoneticPr fontId="1" type="noConversion"/>
  </si>
  <si>
    <t>#1204</t>
    <phoneticPr fontId="1" type="noConversion"/>
  </si>
  <si>
    <t>#1206</t>
    <phoneticPr fontId="1" type="noConversion"/>
  </si>
  <si>
    <t>#1403</t>
    <phoneticPr fontId="1" type="noConversion"/>
  </si>
  <si>
    <t>Main Branch 2:  Disease Diagnosis</t>
    <phoneticPr fontId="1" type="noConversion"/>
  </si>
  <si>
    <t>Main Branch 1, Secondary Branch 1: Symptoms on Young Leaves</t>
    <phoneticPr fontId="1" type="noConversion"/>
  </si>
  <si>
    <t>Main Branch 1, Secondary Branch 2: Symptoms on Mature Leaves</t>
    <phoneticPr fontId="1" type="noConversion"/>
  </si>
  <si>
    <t>Main Branch 1, Secondary Branch 3: Symptoms on Twigs</t>
    <phoneticPr fontId="1" type="noConversion"/>
  </si>
  <si>
    <t>Main Branch 1, Secondary Branch 4: Symptoms on Roots</t>
    <phoneticPr fontId="1" type="noConversion"/>
  </si>
  <si>
    <t>#2204</t>
    <phoneticPr fontId="1" type="noConversion"/>
  </si>
  <si>
    <t>#2206</t>
    <phoneticPr fontId="1" type="noConversion"/>
  </si>
  <si>
    <t>#2303</t>
    <phoneticPr fontId="1" type="noConversion"/>
  </si>
  <si>
    <t>#2000</t>
    <phoneticPr fontId="1" type="noConversion"/>
  </si>
  <si>
    <t xml:space="preserve">Yield affected by pests </t>
    <phoneticPr fontId="1" type="noConversion"/>
  </si>
  <si>
    <t xml:space="preserve">Yield affected by diseases </t>
    <phoneticPr fontId="1" type="noConversion"/>
  </si>
  <si>
    <t>#1302</t>
    <phoneticPr fontId="1" type="noConversion"/>
  </si>
  <si>
    <t>#1200</t>
    <phoneticPr fontId="1" type="noConversion"/>
  </si>
  <si>
    <r>
      <rPr>
        <sz val="10"/>
        <color theme="1"/>
        <rFont val="新細明體"/>
        <family val="1"/>
        <charset val="136"/>
      </rPr>
      <t>進行衛星圖像分析？</t>
    </r>
    <r>
      <rPr>
        <sz val="10"/>
        <color rgb="FFFF0000"/>
        <rFont val="Times New Roman"/>
        <family val="1"/>
      </rPr>
      <t xml:space="preserve"> </t>
    </r>
    <r>
      <rPr>
        <sz val="10"/>
        <color rgb="FF0070C0"/>
        <rFont val="Times New Roman"/>
        <family val="1"/>
      </rPr>
      <t xml:space="preserve"> (</t>
    </r>
    <r>
      <rPr>
        <sz val="10"/>
        <color rgb="FF0070C0"/>
        <rFont val="新細明體"/>
        <family val="1"/>
        <charset val="136"/>
      </rPr>
      <t>若勾選</t>
    </r>
    <r>
      <rPr>
        <sz val="10"/>
        <color rgb="FF0070C0"/>
        <rFont val="Times New Roman"/>
        <family val="1"/>
      </rPr>
      <t>"</t>
    </r>
    <r>
      <rPr>
        <sz val="10"/>
        <color rgb="FF0070C0"/>
        <rFont val="新細明體"/>
        <family val="1"/>
        <charset val="136"/>
      </rPr>
      <t>是</t>
    </r>
    <r>
      <rPr>
        <sz val="10"/>
        <color rgb="FF0070C0"/>
        <rFont val="Times New Roman"/>
        <family val="1"/>
      </rPr>
      <t xml:space="preserve">", </t>
    </r>
    <r>
      <rPr>
        <sz val="10"/>
        <color rgb="FF0070C0"/>
        <rFont val="新細明體"/>
        <family val="1"/>
        <charset val="136"/>
      </rPr>
      <t>請先按</t>
    </r>
    <r>
      <rPr>
        <sz val="10"/>
        <color rgb="FF0070C0"/>
        <rFont val="Times New Roman"/>
        <family val="1"/>
      </rPr>
      <t>"</t>
    </r>
    <r>
      <rPr>
        <sz val="10"/>
        <color rgb="FF0070C0"/>
        <rFont val="新細明體"/>
        <family val="1"/>
        <charset val="136"/>
      </rPr>
      <t>分析</t>
    </r>
    <r>
      <rPr>
        <sz val="10"/>
        <color rgb="FF0070C0"/>
        <rFont val="Times New Roman"/>
        <family val="1"/>
      </rPr>
      <t>"</t>
    </r>
    <r>
      <rPr>
        <sz val="10"/>
        <color rgb="FF0070C0"/>
        <rFont val="新細明體"/>
        <family val="1"/>
        <charset val="136"/>
      </rPr>
      <t>再按</t>
    </r>
    <r>
      <rPr>
        <sz val="10"/>
        <color rgb="FF0070C0"/>
        <rFont val="Times New Roman"/>
        <family val="1"/>
      </rPr>
      <t>"</t>
    </r>
    <r>
      <rPr>
        <sz val="10"/>
        <color rgb="FF0070C0"/>
        <rFont val="新細明體"/>
        <family val="1"/>
        <charset val="136"/>
      </rPr>
      <t>下一步</t>
    </r>
    <r>
      <rPr>
        <sz val="10"/>
        <color rgb="FF0070C0"/>
        <rFont val="Times New Roman"/>
        <family val="1"/>
      </rPr>
      <t>")</t>
    </r>
    <phoneticPr fontId="1" type="noConversion"/>
  </si>
  <si>
    <t>圖片說明</t>
    <phoneticPr fontId="1" type="noConversion"/>
  </si>
  <si>
    <t>問題說明</t>
    <phoneticPr fontId="1" type="noConversion"/>
  </si>
  <si>
    <t>茶園初步評估</t>
    <phoneticPr fontId="1" type="noConversion"/>
  </si>
  <si>
    <t>衛星歷史影像資料庫已建置，建議選擇進行分析，以便瞭解在不同日期茶樹生長情形的空間變化。</t>
    <phoneticPr fontId="1" type="noConversion"/>
  </si>
  <si>
    <t>茶園內可能沒有明顯土壤性質的空間變異。</t>
    <phoneticPr fontId="1" type="noConversion"/>
  </si>
  <si>
    <t>應詢問茶農提早深剪/中剪的原因。</t>
    <phoneticPr fontId="1" type="noConversion"/>
  </si>
  <si>
    <t>可能託給他人代為管理。</t>
    <phoneticPr fontId="1" type="noConversion"/>
  </si>
  <si>
    <t>詢問茶農意見。</t>
    <phoneticPr fontId="1" type="noConversion"/>
  </si>
  <si>
    <t>茶農可以很清楚交代使用什麼肥料和用量/灌溉狀況？</t>
    <phoneticPr fontId="1" type="noConversion"/>
  </si>
  <si>
    <t>冬季期間老葉太多，可能有土壤太酸或新芽和新葉生長不良問題。</t>
    <phoneticPr fontId="1" type="noConversion"/>
  </si>
  <si>
    <t>NDWI&lt;0 cases observed ?</t>
    <phoneticPr fontId="1" type="noConversion"/>
  </si>
  <si>
    <t>#1232</t>
    <phoneticPr fontId="1" type="noConversion"/>
  </si>
  <si>
    <t>#1301</t>
    <phoneticPr fontId="1" type="noConversion"/>
  </si>
  <si>
    <r>
      <rPr>
        <sz val="10"/>
        <color theme="1"/>
        <rFont val="細明體"/>
        <family val="3"/>
        <charset val="136"/>
      </rPr>
      <t>成蟲：體及翅呈褐色。雄蛾前翅有</t>
    </r>
    <r>
      <rPr>
        <sz val="10"/>
        <color theme="1"/>
        <rFont val="Times New Roman"/>
        <family val="1"/>
      </rPr>
      <t xml:space="preserve"> 3 </t>
    </r>
    <r>
      <rPr>
        <sz val="10"/>
        <color theme="1"/>
        <rFont val="細明體"/>
        <family val="3"/>
        <charset val="136"/>
      </rPr>
      <t>條暗褐色帶，外緣與後緣垂直，翅近乎長方形；後翅黃色，扇形，沒有斑紋。雌蛾前翅斑紋較少，有不規則短細橫線散佈；後翅與雄蛾同。雄蛾腹末端有毛叢，雌蛾無。體長約</t>
    </r>
    <r>
      <rPr>
        <sz val="10"/>
        <color theme="1"/>
        <rFont val="Times New Roman"/>
        <family val="1"/>
      </rPr>
      <t xml:space="preserve"> 6 </t>
    </r>
    <r>
      <rPr>
        <sz val="10"/>
        <color theme="1"/>
        <rFont val="細明體"/>
        <family val="3"/>
        <charset val="136"/>
      </rPr>
      <t>公釐，翅展</t>
    </r>
    <r>
      <rPr>
        <sz val="10"/>
        <color theme="1"/>
        <rFont val="Times New Roman"/>
        <family val="1"/>
      </rPr>
      <t xml:space="preserve">7~9 </t>
    </r>
    <r>
      <rPr>
        <sz val="10"/>
        <color theme="1"/>
        <rFont val="細明體"/>
        <family val="3"/>
        <charset val="136"/>
      </rPr>
      <t>公釐。
卵：黃色，呈扁圓形，卵塊呈魚鱗狀。</t>
    </r>
    <phoneticPr fontId="1" type="noConversion"/>
  </si>
  <si>
    <r>
      <rPr>
        <sz val="10"/>
        <color theme="1"/>
        <rFont val="細明體"/>
        <family val="3"/>
        <charset val="136"/>
      </rPr>
      <t>成蟲：雌蟲複眼桃紅色，觸角呈鞭狀，胸部背板黑褐色，前翅紫褐色，翅緣有七個白色斑點，後翅淡紫色，無斑紋，足淡黃色，腹部橘紅色。雄蟲與雌蟲相似，唯體型較小，翅為灰褐色有白斑，腹部為淡橘黃色，尾部有長長的刺。雌蟲體長約</t>
    </r>
    <r>
      <rPr>
        <sz val="10"/>
        <color theme="1"/>
        <rFont val="Times New Roman"/>
        <family val="1"/>
      </rPr>
      <t xml:space="preserve"> 1.4 </t>
    </r>
    <r>
      <rPr>
        <sz val="10"/>
        <color theme="1"/>
        <rFont val="細明體"/>
        <family val="3"/>
        <charset val="136"/>
      </rPr>
      <t>公釐，雄蟲約</t>
    </r>
    <r>
      <rPr>
        <sz val="10"/>
        <color theme="1"/>
        <rFont val="Times New Roman"/>
        <family val="1"/>
      </rPr>
      <t xml:space="preserve"> 1.0 </t>
    </r>
    <r>
      <rPr>
        <sz val="10"/>
        <color theme="1"/>
        <rFont val="細明體"/>
        <family val="3"/>
        <charset val="136"/>
      </rPr>
      <t>公釐。
蛹：蛹殼黑色有光澤，橢圓形，兩側邊緣有刺，周圍一圈白色腊環明顯。</t>
    </r>
    <phoneticPr fontId="1" type="noConversion"/>
  </si>
  <si>
    <r>
      <rPr>
        <sz val="10"/>
        <color theme="1"/>
        <rFont val="細明體"/>
        <family val="3"/>
        <charset val="136"/>
      </rPr>
      <t>成蟲：雌蛾體及前翅呈黃褐色，有光澤，前翅近乎長方形，散佈有濃褐色波狀的短細橫線，中央部份有濃褐色帶狀紋，由後緣</t>
    </r>
    <r>
      <rPr>
        <sz val="10"/>
        <color theme="1"/>
        <rFont val="Times New Roman"/>
        <family val="1"/>
      </rPr>
      <t xml:space="preserve"> 1/2 </t>
    </r>
    <r>
      <rPr>
        <sz val="10"/>
        <color theme="1"/>
        <rFont val="細明體"/>
        <family val="3"/>
        <charset val="136"/>
      </rPr>
      <t>處向內彎曲至前緣</t>
    </r>
    <r>
      <rPr>
        <sz val="10"/>
        <color theme="1"/>
        <rFont val="Times New Roman"/>
        <family val="1"/>
      </rPr>
      <t xml:space="preserve">1/3 </t>
    </r>
    <r>
      <rPr>
        <sz val="10"/>
        <color theme="1"/>
        <rFont val="細明體"/>
        <family val="3"/>
        <charset val="136"/>
      </rPr>
      <t>處消失。後翅黃色，扇形。雄蛾前翅亦近乎長方形，基部前緣褶大，呈暗褐色，中央有</t>
    </r>
    <r>
      <rPr>
        <sz val="10"/>
        <color theme="1"/>
        <rFont val="Times New Roman"/>
        <family val="1"/>
      </rPr>
      <t xml:space="preserve"> 1 </t>
    </r>
    <r>
      <rPr>
        <sz val="10"/>
        <color theme="1"/>
        <rFont val="細明體"/>
        <family val="3"/>
        <charset val="136"/>
      </rPr>
      <t>個黑褐色大斑紋；後翅扇形，先端黃色，基部暗褐色或灰褐色。雄蛾體長</t>
    </r>
    <r>
      <rPr>
        <sz val="10"/>
        <color theme="1"/>
        <rFont val="Times New Roman"/>
        <family val="1"/>
      </rPr>
      <t xml:space="preserve"> 10 </t>
    </r>
    <r>
      <rPr>
        <sz val="10"/>
        <color theme="1"/>
        <rFont val="細明體"/>
        <family val="3"/>
        <charset val="136"/>
      </rPr>
      <t>公釐，翅展</t>
    </r>
    <r>
      <rPr>
        <sz val="10"/>
        <color theme="1"/>
        <rFont val="Times New Roman"/>
        <family val="1"/>
      </rPr>
      <t xml:space="preserve"> 10~13 </t>
    </r>
    <r>
      <rPr>
        <sz val="10"/>
        <color theme="1"/>
        <rFont val="細明體"/>
        <family val="3"/>
        <charset val="136"/>
      </rPr>
      <t>公釐，雌蛾體長</t>
    </r>
    <r>
      <rPr>
        <sz val="10"/>
        <color theme="1"/>
        <rFont val="Times New Roman"/>
        <family val="1"/>
      </rPr>
      <t xml:space="preserve"> 12 </t>
    </r>
    <r>
      <rPr>
        <sz val="10"/>
        <color theme="1"/>
        <rFont val="細明體"/>
        <family val="3"/>
        <charset val="136"/>
      </rPr>
      <t>公釐，翅展</t>
    </r>
    <r>
      <rPr>
        <sz val="10"/>
        <color theme="1"/>
        <rFont val="Times New Roman"/>
        <family val="1"/>
      </rPr>
      <t xml:space="preserve"> 11~15 </t>
    </r>
    <r>
      <rPr>
        <sz val="10"/>
        <color theme="1"/>
        <rFont val="細明體"/>
        <family val="3"/>
        <charset val="136"/>
      </rPr>
      <t>公釐。
卵：卵塊呈魚鱗狀，卵粒黃色，圓形而扁。</t>
    </r>
    <phoneticPr fontId="1" type="noConversion"/>
  </si>
  <si>
    <r>
      <rPr>
        <sz val="10"/>
        <color theme="1"/>
        <rFont val="細明體"/>
        <family val="3"/>
        <charset val="136"/>
      </rPr>
      <t>成蟲：體軀和前翅均呈褐色，帶有光澤。在前翅的中央與前緣相接處呈三角形金黃色的大斑紋。體長約</t>
    </r>
    <r>
      <rPr>
        <sz val="10"/>
        <color theme="1"/>
        <rFont val="Times New Roman"/>
        <family val="1"/>
      </rPr>
      <t>4</t>
    </r>
    <r>
      <rPr>
        <sz val="10"/>
        <color theme="1"/>
        <rFont val="細明體"/>
        <family val="3"/>
        <charset val="136"/>
      </rPr>
      <t>公釐，前翅約</t>
    </r>
    <r>
      <rPr>
        <sz val="10"/>
        <color theme="1"/>
        <rFont val="Times New Roman"/>
        <family val="1"/>
      </rPr>
      <t>5</t>
    </r>
    <r>
      <rPr>
        <sz val="10"/>
        <color theme="1"/>
        <rFont val="細明體"/>
        <family val="3"/>
        <charset val="136"/>
      </rPr>
      <t>至</t>
    </r>
    <r>
      <rPr>
        <sz val="10"/>
        <color theme="1"/>
        <rFont val="Times New Roman"/>
        <family val="1"/>
      </rPr>
      <t>6</t>
    </r>
    <r>
      <rPr>
        <sz val="10"/>
        <color theme="1"/>
        <rFont val="細明體"/>
        <family val="3"/>
        <charset val="136"/>
      </rPr>
      <t>公釐長。
卵：橢圓形，淡綠色，透明，表面微隆起，具水滴般的光澤。長約</t>
    </r>
    <r>
      <rPr>
        <sz val="10"/>
        <color theme="1"/>
        <rFont val="Times New Roman"/>
        <family val="1"/>
      </rPr>
      <t>0.5</t>
    </r>
    <r>
      <rPr>
        <sz val="10"/>
        <color theme="1"/>
        <rFont val="細明體"/>
        <family val="3"/>
        <charset val="136"/>
      </rPr>
      <t>公釐。</t>
    </r>
    <phoneticPr fontId="1" type="noConversion"/>
  </si>
  <si>
    <r>
      <rPr>
        <sz val="10"/>
        <color theme="1"/>
        <rFont val="細明體"/>
        <family val="3"/>
        <charset val="136"/>
      </rPr>
      <t>為害以小葉種較多，於春、夏季較為常見。初孵化的幼蟲在葉主脈下表皮內潛葉危害，三齡幼蟲遷移到葉緣附近危害，亦呈曲線狀為害。後齡幼蟲轉移到嫩葉，再將嫩葉捲成三角形﹐繼續為害。因幼蟲將嫩葉捲成三角形，棲於內面取食、排糞，影響
茶菁產量及成茶品質。成蟲白天在葉片上靜止，夜間活動，交尾產卵，有趨光性。卵大部份產在芽以下第</t>
    </r>
    <r>
      <rPr>
        <sz val="10"/>
        <color theme="1"/>
        <rFont val="Times New Roman"/>
        <family val="1"/>
      </rPr>
      <t>1</t>
    </r>
    <r>
      <rPr>
        <sz val="10"/>
        <color theme="1"/>
        <rFont val="細明體"/>
        <family val="3"/>
        <charset val="136"/>
      </rPr>
      <t>～</t>
    </r>
    <r>
      <rPr>
        <sz val="10"/>
        <color theme="1"/>
        <rFont val="Times New Roman"/>
        <family val="1"/>
      </rPr>
      <t>3</t>
    </r>
    <r>
      <rPr>
        <sz val="10"/>
        <color theme="1"/>
        <rFont val="細明體"/>
        <family val="3"/>
        <charset val="136"/>
      </rPr>
      <t>葉的葉背﹐一般一葉產一粒卵。</t>
    </r>
    <phoneticPr fontId="1" type="noConversion"/>
  </si>
  <si>
    <r>
      <rPr>
        <sz val="10"/>
        <color theme="1"/>
        <rFont val="細明體"/>
        <family val="3"/>
        <charset val="136"/>
      </rPr>
      <t>茶蠶幼蟲共五齡，一、二齡幼蟲食量小，群聚葉背取食；三、四齡食量漸增加，取食整個葉片，集中在枝條上為害；五齡後則分散數群為害，食量驚人往往使茶叢只剩光禿枝幹。幼蟲具有群聚性，受驚動時頭尾會蹺起來如弓狀，老熟幼蟲受驚動時則會跌落地面上假死。老熟幼蟲於地面枯葉，淺土或枝幹縫隙間結繭化蛹。成蟲多在茶叢間活動及交尾、產卵，產卵於葉背，排列成數行，約</t>
    </r>
    <r>
      <rPr>
        <sz val="10"/>
        <color theme="1"/>
        <rFont val="Times New Roman"/>
        <family val="1"/>
      </rPr>
      <t xml:space="preserve"> 40~70 </t>
    </r>
    <r>
      <rPr>
        <sz val="10"/>
        <color theme="1"/>
        <rFont val="細明體"/>
        <family val="3"/>
        <charset val="136"/>
      </rPr>
      <t>個卵粒。</t>
    </r>
    <phoneticPr fontId="1" type="noConversion"/>
  </si>
  <si>
    <r>
      <rPr>
        <sz val="10"/>
        <color theme="1"/>
        <rFont val="細明體"/>
        <family val="3"/>
        <charset val="136"/>
      </rPr>
      <t>台灣黑金龜老熟幼蟲於</t>
    </r>
    <r>
      <rPr>
        <sz val="10"/>
        <color theme="1"/>
        <rFont val="Times New Roman"/>
        <family val="1"/>
      </rPr>
      <t xml:space="preserve">4~5 </t>
    </r>
    <r>
      <rPr>
        <sz val="10"/>
        <color theme="1"/>
        <rFont val="細明體"/>
        <family val="3"/>
        <charset val="136"/>
      </rPr>
      <t>月間在為害處造土化蛹，成蟲於</t>
    </r>
    <r>
      <rPr>
        <sz val="10"/>
        <color theme="1"/>
        <rFont val="Times New Roman"/>
        <family val="1"/>
      </rPr>
      <t xml:space="preserve">6~8 </t>
    </r>
    <r>
      <rPr>
        <sz val="10"/>
        <color theme="1"/>
        <rFont val="細明體"/>
        <family val="3"/>
        <charset val="136"/>
      </rPr>
      <t>月之夜間出現。埔里黑金龜成蟲於</t>
    </r>
    <r>
      <rPr>
        <sz val="10"/>
        <color theme="1"/>
        <rFont val="Times New Roman"/>
        <family val="1"/>
      </rPr>
      <t xml:space="preserve">4 </t>
    </r>
    <r>
      <rPr>
        <sz val="10"/>
        <color theme="1"/>
        <rFont val="細明體"/>
        <family val="3"/>
        <charset val="136"/>
      </rPr>
      <t>月下旬至</t>
    </r>
    <r>
      <rPr>
        <sz val="10"/>
        <color theme="1"/>
        <rFont val="Times New Roman"/>
        <family val="1"/>
      </rPr>
      <t xml:space="preserve">5 </t>
    </r>
    <r>
      <rPr>
        <sz val="10"/>
        <color theme="1"/>
        <rFont val="細明體"/>
        <family val="3"/>
        <charset val="136"/>
      </rPr>
      <t>月上旬出現，食害植物葉片。
剛孵化之幼蟲，咬食靠近地際部之茶樹地下莖及根部皮層，隨成長而為害根部先端和木質部，受害部位留有被咬的痕跡。幼木茶樹受害後整株枯死，成木茶樹則首先萌芽率遞減，樹勢衰退，葉片逐漸變黃，冬季有明顯的落葉現象。</t>
    </r>
    <phoneticPr fontId="1" type="noConversion"/>
  </si>
  <si>
    <r>
      <rPr>
        <sz val="10"/>
        <color theme="1"/>
        <rFont val="細明體"/>
        <family val="3"/>
        <charset val="136"/>
      </rPr>
      <t>成蟎：雌蟎體長約</t>
    </r>
    <r>
      <rPr>
        <sz val="10"/>
        <color theme="1"/>
        <rFont val="Times New Roman"/>
        <family val="1"/>
      </rPr>
      <t xml:space="preserve">0.44 </t>
    </r>
    <r>
      <rPr>
        <sz val="10"/>
        <color theme="1"/>
        <rFont val="細明體"/>
        <family val="3"/>
        <charset val="136"/>
      </rPr>
      <t>公釐，鮮紅色或深紅色，橢圓形或卵圓形，具足四對。雄蟎體長約</t>
    </r>
    <r>
      <rPr>
        <sz val="10"/>
        <color theme="1"/>
        <rFont val="Times New Roman"/>
        <family val="1"/>
      </rPr>
      <t xml:space="preserve">0.34 </t>
    </r>
    <r>
      <rPr>
        <sz val="10"/>
        <color theme="1"/>
        <rFont val="細明體"/>
        <family val="3"/>
        <charset val="136"/>
      </rPr>
      <t>公釐，淺紅色或淺黃紅色，呈盾形。
卵：圓形，光滑，淡黃綠色，直徑平均</t>
    </r>
    <r>
      <rPr>
        <sz val="10"/>
        <color theme="1"/>
        <rFont val="Times New Roman"/>
        <family val="1"/>
      </rPr>
      <t xml:space="preserve"> 0.141±0.004 </t>
    </r>
    <r>
      <rPr>
        <sz val="10"/>
        <color theme="1"/>
        <rFont val="細明體"/>
        <family val="3"/>
        <charset val="136"/>
      </rPr>
      <t>公釐。
幼蟎：體軀橢圓形，體長平均</t>
    </r>
    <r>
      <rPr>
        <sz val="10"/>
        <color theme="1"/>
        <rFont val="Times New Roman"/>
        <family val="1"/>
      </rPr>
      <t xml:space="preserve">0.177±0.02 </t>
    </r>
    <r>
      <rPr>
        <sz val="10"/>
        <color theme="1"/>
        <rFont val="細明體"/>
        <family val="3"/>
        <charset val="136"/>
      </rPr>
      <t>公釐，淡黃乳白色。具足三對，前二對，後一對。
若蟎：體長平均</t>
    </r>
    <r>
      <rPr>
        <sz val="10"/>
        <color theme="1"/>
        <rFont val="Times New Roman"/>
        <family val="1"/>
      </rPr>
      <t xml:space="preserve"> 0.266±0.02 </t>
    </r>
    <r>
      <rPr>
        <sz val="10"/>
        <color theme="1"/>
        <rFont val="細明體"/>
        <family val="3"/>
        <charset val="136"/>
      </rPr>
      <t>公釐，具足四對，雌性體軀呈橢圓形，雄性為盾形，黃褐色，前體肩背具兩紅點。經二次蛻皮後，雌性淡紅色，雄性略帶黃色，足</t>
    </r>
    <r>
      <rPr>
        <sz val="10"/>
        <color theme="1"/>
        <rFont val="Times New Roman"/>
        <family val="1"/>
      </rPr>
      <t xml:space="preserve">4 </t>
    </r>
    <r>
      <rPr>
        <sz val="10"/>
        <color theme="1"/>
        <rFont val="細明體"/>
        <family val="3"/>
        <charset val="136"/>
      </rPr>
      <t>對，體長約</t>
    </r>
    <r>
      <rPr>
        <sz val="10"/>
        <color theme="1"/>
        <rFont val="Times New Roman"/>
        <family val="1"/>
      </rPr>
      <t xml:space="preserve">0.36±0.04 </t>
    </r>
    <r>
      <rPr>
        <sz val="10"/>
        <color theme="1"/>
        <rFont val="細明體"/>
        <family val="3"/>
        <charset val="136"/>
      </rPr>
      <t>公釐。</t>
    </r>
    <phoneticPr fontId="1" type="noConversion"/>
  </si>
  <si>
    <r>
      <rPr>
        <sz val="10"/>
        <color theme="1"/>
        <rFont val="細明體"/>
        <family val="3"/>
        <charset val="136"/>
      </rPr>
      <t>成蟎：雌蟎體暗紫色，略呈橢圓形，腹部後端為寬圓形，體長</t>
    </r>
    <r>
      <rPr>
        <sz val="10"/>
        <color theme="1"/>
        <rFont val="Times New Roman"/>
        <family val="1"/>
      </rPr>
      <t>0.34~0.50</t>
    </r>
    <r>
      <rPr>
        <sz val="10"/>
        <color theme="1"/>
        <rFont val="細明體"/>
        <family val="3"/>
        <charset val="136"/>
      </rPr>
      <t>公釐。雄蟎體較小且細長，腹部窄，幾乎呈錐形，體長</t>
    </r>
    <r>
      <rPr>
        <sz val="10"/>
        <color theme="1"/>
        <rFont val="Times New Roman"/>
        <family val="1"/>
      </rPr>
      <t xml:space="preserve">0.29~0.40 </t>
    </r>
    <r>
      <rPr>
        <sz val="10"/>
        <color theme="1"/>
        <rFont val="細明體"/>
        <family val="3"/>
        <charset val="136"/>
      </rPr>
      <t>公釐。
卵：球形，初產下時無色透明，後呈鮮紅色。
幼蟎：足</t>
    </r>
    <r>
      <rPr>
        <sz val="10"/>
        <color theme="1"/>
        <rFont val="Times New Roman"/>
        <family val="1"/>
      </rPr>
      <t xml:space="preserve"> 3 </t>
    </r>
    <r>
      <rPr>
        <sz val="10"/>
        <color theme="1"/>
        <rFont val="細明體"/>
        <family val="3"/>
        <charset val="136"/>
      </rPr>
      <t>對，體近乎圓形，初為橘黃色，逐漸變淡。
若蟎：若蟎具有</t>
    </r>
    <r>
      <rPr>
        <sz val="10"/>
        <color theme="1"/>
        <rFont val="Times New Roman"/>
        <family val="1"/>
      </rPr>
      <t xml:space="preserve"> 4 </t>
    </r>
    <r>
      <rPr>
        <sz val="10"/>
        <color theme="1"/>
        <rFont val="細明體"/>
        <family val="3"/>
        <charset val="136"/>
      </rPr>
      <t>對足，體略呈橢圓形，前體部為淡紅色，腹部為暗紅色。</t>
    </r>
    <phoneticPr fontId="1" type="noConversion"/>
  </si>
  <si>
    <r>
      <rPr>
        <sz val="10"/>
        <color theme="1"/>
        <rFont val="細明體"/>
        <family val="3"/>
        <charset val="136"/>
      </rPr>
      <t>茶枝枯病在夏天發生最為嚴重，秋季以後病勢漸趨緩和，北部在</t>
    </r>
    <r>
      <rPr>
        <sz val="10"/>
        <color theme="1"/>
        <rFont val="Times New Roman"/>
        <family val="1"/>
      </rPr>
      <t xml:space="preserve"> 10 </t>
    </r>
    <r>
      <rPr>
        <sz val="10"/>
        <color theme="1"/>
        <rFont val="細明體"/>
        <family val="3"/>
        <charset val="136"/>
      </rPr>
      <t>月以後不再發生，至次年春天氣溫逐漸上升，新梢抽出後陸續再次出現枝枯現象，至</t>
    </r>
    <r>
      <rPr>
        <sz val="10"/>
        <color theme="1"/>
        <rFont val="Times New Roman"/>
        <family val="1"/>
      </rPr>
      <t>7</t>
    </r>
    <r>
      <rPr>
        <sz val="10"/>
        <color theme="1"/>
        <rFont val="細明體"/>
        <family val="3"/>
        <charset val="136"/>
      </rPr>
      <t>、</t>
    </r>
    <r>
      <rPr>
        <sz val="10"/>
        <color theme="1"/>
        <rFont val="Times New Roman"/>
        <family val="1"/>
      </rPr>
      <t xml:space="preserve">8 </t>
    </r>
    <r>
      <rPr>
        <sz val="10"/>
        <color theme="1"/>
        <rFont val="細明體"/>
        <family val="3"/>
        <charset val="136"/>
      </rPr>
      <t>月時發病率達最高峰，如此周而復始，造成茶樹的生長勢一年不如一年，因而縮短其經濟壽命；在乾旱的年份，因茶樹之抗病能力降低，致使發病較一般年份更為嚴重。各品種對枝枯病之抵抗能力差異很大，發病比較嚴重的品種為臺茶</t>
    </r>
    <r>
      <rPr>
        <sz val="10"/>
        <color theme="1"/>
        <rFont val="Times New Roman"/>
        <family val="1"/>
      </rPr>
      <t xml:space="preserve">1 </t>
    </r>
    <r>
      <rPr>
        <sz val="10"/>
        <color theme="1"/>
        <rFont val="細明體"/>
        <family val="3"/>
        <charset val="136"/>
      </rPr>
      <t>號、臺茶</t>
    </r>
    <r>
      <rPr>
        <sz val="10"/>
        <color theme="1"/>
        <rFont val="Times New Roman"/>
        <family val="1"/>
      </rPr>
      <t xml:space="preserve">10 </t>
    </r>
    <r>
      <rPr>
        <sz val="10"/>
        <color theme="1"/>
        <rFont val="細明體"/>
        <family val="3"/>
        <charset val="136"/>
      </rPr>
      <t>號、臺茶</t>
    </r>
    <r>
      <rPr>
        <sz val="10"/>
        <color theme="1"/>
        <rFont val="Times New Roman"/>
        <family val="1"/>
      </rPr>
      <t xml:space="preserve">12 </t>
    </r>
    <r>
      <rPr>
        <sz val="10"/>
        <color theme="1"/>
        <rFont val="細明體"/>
        <family val="3"/>
        <charset val="136"/>
      </rPr>
      <t>號、小葉鐵觀音、桃仁烏及青心烏龍等品種，抗病性較強的品種為台茶</t>
    </r>
    <r>
      <rPr>
        <sz val="10"/>
        <color theme="1"/>
        <rFont val="Times New Roman"/>
        <family val="1"/>
      </rPr>
      <t xml:space="preserve">8 </t>
    </r>
    <r>
      <rPr>
        <sz val="10"/>
        <color theme="1"/>
        <rFont val="細明體"/>
        <family val="3"/>
        <charset val="136"/>
      </rPr>
      <t>號、赤芽山茶及皋盧等品種。</t>
    </r>
    <phoneticPr fontId="1" type="noConversion"/>
  </si>
  <si>
    <r>
      <rPr>
        <sz val="10"/>
        <color theme="1"/>
        <rFont val="細明體"/>
        <family val="3"/>
        <charset val="136"/>
      </rPr>
      <t>茶褐色圓星病有二型病斑，一為褐色圓斑，在葉片上形成褐色小斑點，以後逐漸擴大為圓型或不規則型之斑點，此型病斑可產生大量的分生孢子。另一型病斑為綠斑型，發生在老葉及幼葉，初期在葉背產生針狀斑點，可擴大到</t>
    </r>
    <r>
      <rPr>
        <sz val="10"/>
        <color theme="1"/>
        <rFont val="Times New Roman"/>
        <family val="1"/>
      </rPr>
      <t xml:space="preserve">2~3 </t>
    </r>
    <r>
      <rPr>
        <sz val="10"/>
        <color theme="1"/>
        <rFont val="細明體"/>
        <family val="3"/>
        <charset val="136"/>
      </rPr>
      <t>公釐大小，罹病組織細胞較正常細胞腫大，顏色呈淡綠色，一片葉子可佈滿無數小病斑</t>
    </r>
    <r>
      <rPr>
        <sz val="10"/>
        <color theme="1"/>
        <rFont val="Times New Roman"/>
        <family val="1"/>
      </rPr>
      <t>(</t>
    </r>
    <r>
      <rPr>
        <sz val="10"/>
        <color theme="1"/>
        <rFont val="細明體"/>
        <family val="3"/>
        <charset val="136"/>
      </rPr>
      <t>圖十五、十六</t>
    </r>
    <r>
      <rPr>
        <sz val="10"/>
        <color theme="1"/>
        <rFont val="Times New Roman"/>
        <family val="1"/>
      </rPr>
      <t>)</t>
    </r>
    <r>
      <rPr>
        <sz val="10"/>
        <color theme="1"/>
        <rFont val="細明體"/>
        <family val="3"/>
        <charset val="136"/>
      </rPr>
      <t>，臺灣發現的病斑皆屬於綠斑型病斑，且目前所栽培的品種皆不具抗病性。</t>
    </r>
    <phoneticPr fontId="1" type="noConversion"/>
  </si>
  <si>
    <r>
      <rPr>
        <sz val="10"/>
        <color theme="1"/>
        <rFont val="細明體"/>
        <family val="3"/>
        <charset val="136"/>
      </rPr>
      <t>初期病斑為黃綠色小點</t>
    </r>
    <r>
      <rPr>
        <sz val="10"/>
        <color theme="1"/>
        <rFont val="Times New Roman"/>
        <family val="1"/>
      </rPr>
      <t xml:space="preserve"> 2~3 </t>
    </r>
    <r>
      <rPr>
        <sz val="10"/>
        <color theme="1"/>
        <rFont val="細明體"/>
        <family val="3"/>
        <charset val="136"/>
      </rPr>
      <t>公釐，對光看為透明小點，慢慢擴大，上有稀疏的白色粉狀物，子實層越長越密，肉眼可見到白色網狀物，因沿葉脈生長，故成網紋狀。</t>
    </r>
    <phoneticPr fontId="1" type="noConversion"/>
  </si>
  <si>
    <r>
      <rPr>
        <sz val="10"/>
        <color theme="1"/>
        <rFont val="細明體"/>
        <family val="3"/>
        <charset val="136"/>
      </rPr>
      <t>有茶餅病發生之茶園大多能發現茶網餅病，但茶網餅病病斑生長緩慢，網餅病雖然在老葉發現，實際上其在幼葉期即以受侵入，潛伏期約為</t>
    </r>
    <r>
      <rPr>
        <sz val="10"/>
        <color theme="1"/>
        <rFont val="Times New Roman"/>
        <family val="1"/>
      </rPr>
      <t xml:space="preserve">30 </t>
    </r>
    <r>
      <rPr>
        <sz val="10"/>
        <color theme="1"/>
        <rFont val="細明體"/>
        <family val="3"/>
        <charset val="136"/>
      </rPr>
      <t>天，且經</t>
    </r>
    <r>
      <rPr>
        <sz val="10"/>
        <color theme="1"/>
        <rFont val="Times New Roman"/>
        <family val="1"/>
      </rPr>
      <t>60</t>
    </r>
    <r>
      <rPr>
        <sz val="10"/>
        <color theme="1"/>
        <rFont val="細明體"/>
        <family val="3"/>
        <charset val="136"/>
      </rPr>
      <t>～</t>
    </r>
    <r>
      <rPr>
        <sz val="10"/>
        <color theme="1"/>
        <rFont val="Times New Roman"/>
        <family val="1"/>
      </rPr>
      <t xml:space="preserve">70 </t>
    </r>
    <r>
      <rPr>
        <sz val="10"/>
        <color theme="1"/>
        <rFont val="細明體"/>
        <family val="3"/>
        <charset val="136"/>
      </rPr>
      <t>天後才出現網紋狀病斑。品種間之抗病性差異很大，青心烏龍是極感病的品種。</t>
    </r>
    <phoneticPr fontId="1" type="noConversion"/>
  </si>
  <si>
    <t>#2208</t>
    <phoneticPr fontId="1" type="noConversion"/>
  </si>
  <si>
    <r>
      <rPr>
        <sz val="10"/>
        <color theme="1"/>
        <rFont val="細明體"/>
        <family val="3"/>
        <charset val="136"/>
      </rPr>
      <t>日燒是植物組織被強烈陽光灼傷的一種現象，主要發生於葉片上，露水、雨滴或灌溉水</t>
    </r>
    <r>
      <rPr>
        <sz val="10"/>
        <color theme="1"/>
        <rFont val="Times New Roman"/>
        <family val="1"/>
      </rPr>
      <t>(</t>
    </r>
    <r>
      <rPr>
        <sz val="10"/>
        <color theme="1"/>
        <rFont val="細明體"/>
        <family val="3"/>
        <charset val="136"/>
      </rPr>
      <t>通常指葉面噴灌</t>
    </r>
    <r>
      <rPr>
        <sz val="10"/>
        <color theme="1"/>
        <rFont val="Times New Roman"/>
        <family val="1"/>
      </rPr>
      <t>)</t>
    </r>
    <r>
      <rPr>
        <sz val="10"/>
        <color theme="1"/>
        <rFont val="細明體"/>
        <family val="3"/>
        <charset val="136"/>
      </rPr>
      <t>停留在葉面上，經太陽照射後，使得細胞因高溫而壞死，多發生在茶園中向陽處的茶樹，尤其是迎光面的葉片最容易發生。日燒病斑後期易被誤認為赤葉枯病、炭疽病或輪斑病等葉部病害，一般而言，病原菌所引起的病斑是漸進式的發展，而日燒病來得又快又急，二者病程進展是有所不同的。日燒病的預防方法為夏季時茶樹葉面應保持乾燥，不要殘留水珠，應避免在大熱天使用噴水設施進行灌溉。日燒病是一種非病原性的生理不適應症，不具傳染性也無需噴藥。</t>
    </r>
    <phoneticPr fontId="1" type="noConversion"/>
  </si>
  <si>
    <r>
      <rPr>
        <sz val="10"/>
        <color theme="1"/>
        <rFont val="細明體"/>
        <family val="3"/>
        <charset val="136"/>
      </rPr>
      <t>雌蟲體長約</t>
    </r>
    <r>
      <rPr>
        <sz val="10"/>
        <color theme="1"/>
        <rFont val="Times New Roman"/>
        <family val="1"/>
      </rPr>
      <t>4</t>
    </r>
    <r>
      <rPr>
        <sz val="10"/>
        <color theme="1"/>
        <rFont val="細明體"/>
        <family val="3"/>
        <charset val="136"/>
      </rPr>
      <t>公厘，背面隆起成半球形或近球形，暗赤色或紫褐色。尋找枝條固定後即刺取吸食，並分泌白蠟覆蓋蟲體。嚴重時，枝條枯萎。</t>
    </r>
    <phoneticPr fontId="1" type="noConversion"/>
  </si>
  <si>
    <t>#2251</t>
    <phoneticPr fontId="1" type="noConversion"/>
  </si>
  <si>
    <t>#1305</t>
    <phoneticPr fontId="1" type="noConversion"/>
  </si>
  <si>
    <r>
      <t>(</t>
    </r>
    <r>
      <rPr>
        <sz val="10"/>
        <color theme="1"/>
        <rFont val="細明體"/>
        <family val="3"/>
        <charset val="136"/>
      </rPr>
      <t>一</t>
    </r>
    <r>
      <rPr>
        <sz val="10"/>
        <color theme="1"/>
        <rFont val="Times New Roman"/>
        <family val="1"/>
      </rPr>
      <t xml:space="preserve">) </t>
    </r>
    <r>
      <rPr>
        <sz val="10"/>
        <color theme="1"/>
        <rFont val="細明體"/>
        <family val="3"/>
        <charset val="136"/>
      </rPr>
      <t>台灣黑金龜
成蟲：暗褐色具光澤。頭、前背板及翅鞘密佈帶有褐色的短細毛，並有點刻。頭楯特別短，前緣略向上彎，中央凹下，複眼間有一橫凸起線。翅鞘沿會合處有一凸起線為其特徵。體長約</t>
    </r>
    <r>
      <rPr>
        <sz val="10"/>
        <color theme="1"/>
        <rFont val="Times New Roman"/>
        <family val="1"/>
      </rPr>
      <t xml:space="preserve">20 </t>
    </r>
    <r>
      <rPr>
        <sz val="10"/>
        <color theme="1"/>
        <rFont val="細明體"/>
        <family val="3"/>
        <charset val="136"/>
      </rPr>
      <t xml:space="preserve">公釐。
</t>
    </r>
    <r>
      <rPr>
        <sz val="10"/>
        <color theme="1"/>
        <rFont val="Times New Roman"/>
        <family val="1"/>
      </rPr>
      <t>(</t>
    </r>
    <r>
      <rPr>
        <sz val="10"/>
        <color theme="1"/>
        <rFont val="細明體"/>
        <family val="3"/>
        <charset val="136"/>
      </rPr>
      <t>二</t>
    </r>
    <r>
      <rPr>
        <sz val="10"/>
        <color theme="1"/>
        <rFont val="Times New Roman"/>
        <family val="1"/>
      </rPr>
      <t xml:space="preserve">) </t>
    </r>
    <r>
      <rPr>
        <sz val="10"/>
        <color theme="1"/>
        <rFont val="細明體"/>
        <family val="3"/>
        <charset val="136"/>
      </rPr>
      <t>埔里黑金龜</t>
    </r>
    <r>
      <rPr>
        <sz val="10"/>
        <color theme="1"/>
        <rFont val="Times New Roman"/>
        <family val="1"/>
      </rPr>
      <t>(</t>
    </r>
    <r>
      <rPr>
        <sz val="10"/>
        <color theme="1"/>
        <rFont val="細明體"/>
        <family val="3"/>
        <charset val="136"/>
      </rPr>
      <t>又稱南風龜</t>
    </r>
    <r>
      <rPr>
        <sz val="10"/>
        <color theme="1"/>
        <rFont val="Times New Roman"/>
        <family val="1"/>
      </rPr>
      <t xml:space="preserve">)
</t>
    </r>
    <r>
      <rPr>
        <sz val="10"/>
        <color theme="1"/>
        <rFont val="細明體"/>
        <family val="3"/>
        <charset val="136"/>
      </rPr>
      <t>成蟲：體長約</t>
    </r>
    <r>
      <rPr>
        <sz val="10"/>
        <color theme="1"/>
        <rFont val="Times New Roman"/>
        <family val="1"/>
      </rPr>
      <t xml:space="preserve">20~25 </t>
    </r>
    <r>
      <rPr>
        <sz val="10"/>
        <color theme="1"/>
        <rFont val="細明體"/>
        <family val="3"/>
        <charset val="136"/>
      </rPr>
      <t>公釐。暗褐色或褐黑色，帶有光澤。頭部密佈著粗大的刻點，頭楯寬而前緣向上揚起。前胸背板很寬，約為長的</t>
    </r>
    <r>
      <rPr>
        <sz val="10"/>
        <color theme="1"/>
        <rFont val="Times New Roman"/>
        <family val="1"/>
      </rPr>
      <t xml:space="preserve">2 </t>
    </r>
    <r>
      <rPr>
        <sz val="10"/>
        <color theme="1"/>
        <rFont val="細明體"/>
        <family val="3"/>
        <charset val="136"/>
      </rPr>
      <t>倍，其上點刻較頭部細而疏。在翅鞘的背面有三條縱隆線條。</t>
    </r>
    <phoneticPr fontId="1" type="noConversion"/>
  </si>
  <si>
    <t>Chlorosis of tips and margins of leaves with brown spots ?</t>
    <phoneticPr fontId="1" type="noConversion"/>
  </si>
  <si>
    <r>
      <rPr>
        <sz val="10"/>
        <color theme="1"/>
        <rFont val="細明體"/>
        <family val="3"/>
        <charset val="136"/>
      </rPr>
      <t>成蟲：雌蟲體呈淡褐色，觸角鞭狀，白色，翅呈黃棕色，前翅有三條波浪狀的翅紋，在第一、二條斑紋之間有一小黑點，後翅有兩條斑紋，亦具有一小黑點。雄蟲體色及翅均呈黑褐色，觸角雙櫛齒狀，暗褐色，翅紋與雌蛾同。雄蟲展翅</t>
    </r>
    <r>
      <rPr>
        <sz val="10"/>
        <color theme="1"/>
        <rFont val="Times New Roman"/>
        <family val="1"/>
      </rPr>
      <t xml:space="preserve"> 33~45 </t>
    </r>
    <r>
      <rPr>
        <sz val="10"/>
        <color theme="1"/>
        <rFont val="細明體"/>
        <family val="3"/>
        <charset val="136"/>
      </rPr>
      <t>公釐，雌蛾展翅</t>
    </r>
    <r>
      <rPr>
        <sz val="10"/>
        <color theme="1"/>
        <rFont val="Times New Roman"/>
        <family val="1"/>
      </rPr>
      <t xml:space="preserve"> 45~48 </t>
    </r>
    <r>
      <rPr>
        <sz val="10"/>
        <color theme="1"/>
        <rFont val="細明體"/>
        <family val="3"/>
        <charset val="136"/>
      </rPr>
      <t>公釐。
卵：黃色，略成橢圓形。</t>
    </r>
    <phoneticPr fontId="1" type="noConversion"/>
  </si>
  <si>
    <t>#1104</t>
    <phoneticPr fontId="1" type="noConversion"/>
  </si>
  <si>
    <t>檢查歷史氣象紀錄。茶樹每日耗水量在2.5~10mm間，夏季高溫期間若遇20天沒有降雨紀錄，茶樹生理即接近萎凋臨界點。</t>
    <phoneticPr fontId="1" type="noConversion"/>
  </si>
  <si>
    <t>茶芽停止生長成為駐芽，葉片失去光澤萎凋變黃，逐漸由上部向下部枯死？</t>
    <phoneticPr fontId="1" type="noConversion"/>
  </si>
  <si>
    <r>
      <rPr>
        <sz val="10"/>
        <color theme="1"/>
        <rFont val="細明體"/>
        <family val="3"/>
        <charset val="136"/>
      </rPr>
      <t>茶樹喜光耐陰，忌強光直射。茶樹原產地在雲南、四川、貴州</t>
    </r>
    <r>
      <rPr>
        <sz val="10"/>
        <color theme="1"/>
        <rFont val="Times New Roman"/>
        <family val="1"/>
      </rPr>
      <t>⼀</t>
    </r>
    <r>
      <rPr>
        <sz val="10"/>
        <color theme="1"/>
        <rFont val="細明體"/>
        <family val="3"/>
        <charset val="136"/>
      </rPr>
      <t>帶的</t>
    </r>
    <r>
      <rPr>
        <sz val="10"/>
        <color theme="1"/>
        <rFont val="Times New Roman"/>
        <family val="1"/>
      </rPr>
      <t>⼤</t>
    </r>
    <r>
      <rPr>
        <sz val="10"/>
        <color theme="1"/>
        <rFont val="細明體"/>
        <family val="3"/>
        <charset val="136"/>
      </rPr>
      <t>森林中，經常處於漫射光下，因此茶樹在較弱的光照下也能達到較</t>
    </r>
    <r>
      <rPr>
        <sz val="10"/>
        <color theme="1"/>
        <rFont val="Times New Roman"/>
        <family val="1"/>
      </rPr>
      <t>⾼</t>
    </r>
    <r>
      <rPr>
        <sz val="10"/>
        <color theme="1"/>
        <rFont val="細明體"/>
        <family val="3"/>
        <charset val="136"/>
      </rPr>
      <t>的光合效應，故具有耐陰的特性，並不需要太</t>
    </r>
    <r>
      <rPr>
        <sz val="10"/>
        <color theme="1"/>
        <rFont val="Times New Roman"/>
        <family val="1"/>
      </rPr>
      <t>⾼</t>
    </r>
    <r>
      <rPr>
        <sz val="10"/>
        <color theme="1"/>
        <rFont val="細明體"/>
        <family val="3"/>
        <charset val="136"/>
      </rPr>
      <t>的光照強度，因此當光照強度超過</t>
    </r>
    <r>
      <rPr>
        <sz val="10"/>
        <color theme="1"/>
        <rFont val="Times New Roman"/>
        <family val="1"/>
      </rPr>
      <t>⼀</t>
    </r>
    <r>
      <rPr>
        <sz val="10"/>
        <color theme="1"/>
        <rFont val="細明體"/>
        <family val="3"/>
        <charset val="136"/>
      </rPr>
      <t>定範圍時，茶樹的光合作</t>
    </r>
    <r>
      <rPr>
        <sz val="10"/>
        <color theme="1"/>
        <rFont val="Times New Roman"/>
        <family val="1"/>
      </rPr>
      <t>⽤</t>
    </r>
    <r>
      <rPr>
        <sz val="10"/>
        <color theme="1"/>
        <rFont val="細明體"/>
        <family val="3"/>
        <charset val="136"/>
      </rPr>
      <t>強度則不升反降，但茶樹</t>
    </r>
    <r>
      <rPr>
        <sz val="10"/>
        <color theme="1"/>
        <rFont val="Times New Roman"/>
        <family val="1"/>
      </rPr>
      <t>⽣⻑</t>
    </r>
    <r>
      <rPr>
        <sz val="10"/>
        <color theme="1"/>
        <rFont val="細明體"/>
        <family val="3"/>
        <charset val="136"/>
      </rPr>
      <t>於不良光照時，也無法維持正常的</t>
    </r>
    <r>
      <rPr>
        <sz val="10"/>
        <color theme="1"/>
        <rFont val="Times New Roman"/>
        <family val="1"/>
      </rPr>
      <t>⽣⻑</t>
    </r>
    <r>
      <rPr>
        <sz val="10"/>
        <color theme="1"/>
        <rFont val="細明體"/>
        <family val="3"/>
        <charset val="136"/>
      </rPr>
      <t>發育。</t>
    </r>
    <r>
      <rPr>
        <sz val="10"/>
        <color theme="1"/>
        <rFont val="Times New Roman"/>
        <family val="1"/>
      </rPr>
      <t>⼀</t>
    </r>
    <r>
      <rPr>
        <sz val="10"/>
        <color theme="1"/>
        <rFont val="細明體"/>
        <family val="3"/>
        <charset val="136"/>
      </rPr>
      <t>般</t>
    </r>
    <r>
      <rPr>
        <sz val="10"/>
        <color theme="1"/>
        <rFont val="Times New Roman"/>
        <family val="1"/>
      </rPr>
      <t>⽽⾔</t>
    </r>
    <r>
      <rPr>
        <sz val="10"/>
        <color theme="1"/>
        <rFont val="細明體"/>
        <family val="3"/>
        <charset val="136"/>
      </rPr>
      <t>，茶樹光照強度應控制在</t>
    </r>
    <r>
      <rPr>
        <sz val="10"/>
        <color theme="1"/>
        <rFont val="Times New Roman"/>
        <family val="1"/>
      </rPr>
      <t>3</t>
    </r>
    <r>
      <rPr>
        <sz val="10"/>
        <color theme="1"/>
        <rFont val="細明體"/>
        <family val="3"/>
        <charset val="136"/>
      </rPr>
      <t>萬—</t>
    </r>
    <r>
      <rPr>
        <sz val="10"/>
        <color theme="1"/>
        <rFont val="Times New Roman"/>
        <family val="1"/>
      </rPr>
      <t>5</t>
    </r>
    <r>
      <rPr>
        <sz val="10"/>
        <color theme="1"/>
        <rFont val="細明體"/>
        <family val="3"/>
        <charset val="136"/>
      </rPr>
      <t>萬勒為宜。在強光（</t>
    </r>
    <r>
      <rPr>
        <sz val="10"/>
        <color theme="1"/>
        <rFont val="Times New Roman"/>
        <family val="1"/>
      </rPr>
      <t>8</t>
    </r>
    <r>
      <rPr>
        <sz val="10"/>
        <color theme="1"/>
        <rFont val="細明體"/>
        <family val="3"/>
        <charset val="136"/>
      </rPr>
      <t>萬勒以上）、</t>
    </r>
    <r>
      <rPr>
        <sz val="10"/>
        <color theme="1"/>
        <rFont val="Times New Roman"/>
        <family val="1"/>
      </rPr>
      <t>⾼</t>
    </r>
    <r>
      <rPr>
        <sz val="10"/>
        <color theme="1"/>
        <rFont val="細明體"/>
        <family val="3"/>
        <charset val="136"/>
      </rPr>
      <t>溫</t>
    </r>
    <r>
      <rPr>
        <sz val="10"/>
        <color theme="1"/>
        <rFont val="Times New Roman"/>
        <family val="1"/>
      </rPr>
      <t>( 34</t>
    </r>
    <r>
      <rPr>
        <sz val="10"/>
        <color theme="1"/>
        <rFont val="細明體"/>
        <family val="3"/>
        <charset val="136"/>
      </rPr>
      <t>～</t>
    </r>
    <r>
      <rPr>
        <sz val="10"/>
        <color theme="1"/>
        <rFont val="Times New Roman"/>
        <family val="1"/>
      </rPr>
      <t>38</t>
    </r>
    <r>
      <rPr>
        <sz val="10"/>
        <color theme="1"/>
        <rFont val="細明體"/>
        <family val="3"/>
        <charset val="136"/>
      </rPr>
      <t>℃</t>
    </r>
    <r>
      <rPr>
        <sz val="10"/>
        <color theme="1"/>
        <rFont val="Times New Roman"/>
        <family val="1"/>
      </rPr>
      <t>)</t>
    </r>
    <r>
      <rPr>
        <sz val="10"/>
        <color theme="1"/>
        <rFont val="細明體"/>
        <family val="3"/>
        <charset val="136"/>
      </rPr>
      <t>和低濕</t>
    </r>
    <r>
      <rPr>
        <sz val="10"/>
        <color theme="1"/>
        <rFont val="Times New Roman"/>
        <family val="1"/>
      </rPr>
      <t>(40%</t>
    </r>
    <r>
      <rPr>
        <sz val="10"/>
        <color theme="1"/>
        <rFont val="細明體"/>
        <family val="3"/>
        <charset val="136"/>
      </rPr>
      <t>～</t>
    </r>
    <r>
      <rPr>
        <sz val="10"/>
        <color theme="1"/>
        <rFont val="Times New Roman"/>
        <family val="1"/>
      </rPr>
      <t>60%)</t>
    </r>
    <r>
      <rPr>
        <sz val="10"/>
        <color theme="1"/>
        <rFont val="細明體"/>
        <family val="3"/>
        <charset val="136"/>
      </rPr>
      <t>的協同作</t>
    </r>
    <r>
      <rPr>
        <sz val="10"/>
        <color theme="1"/>
        <rFont val="Times New Roman"/>
        <family val="1"/>
      </rPr>
      <t>⽤</t>
    </r>
    <r>
      <rPr>
        <sz val="10"/>
        <color theme="1"/>
        <rFont val="細明體"/>
        <family val="3"/>
        <charset val="136"/>
      </rPr>
      <t>下，葉片暗呼吸和光呼吸速率</t>
    </r>
    <r>
      <rPr>
        <sz val="10"/>
        <color theme="1"/>
        <rFont val="Times New Roman"/>
        <family val="1"/>
      </rPr>
      <t>⼤</t>
    </r>
    <r>
      <rPr>
        <sz val="10"/>
        <color theme="1"/>
        <rFont val="細明體"/>
        <family val="3"/>
        <charset val="136"/>
      </rPr>
      <t>幅提</t>
    </r>
    <r>
      <rPr>
        <sz val="10"/>
        <color theme="1"/>
        <rFont val="Times New Roman"/>
        <family val="1"/>
      </rPr>
      <t>⾼</t>
    </r>
    <r>
      <rPr>
        <sz val="10"/>
        <color theme="1"/>
        <rFont val="細明體"/>
        <family val="3"/>
        <charset val="136"/>
      </rPr>
      <t>，使凈光合速率明顯降低，因此適度遮陽能滿</t>
    </r>
    <r>
      <rPr>
        <sz val="10"/>
        <color theme="1"/>
        <rFont val="Times New Roman"/>
        <family val="1"/>
      </rPr>
      <t>⾜</t>
    </r>
    <r>
      <rPr>
        <sz val="10"/>
        <color theme="1"/>
        <rFont val="細明體"/>
        <family val="3"/>
        <charset val="136"/>
      </rPr>
      <t>茶樹耐陰</t>
    </r>
    <r>
      <rPr>
        <sz val="10"/>
        <color theme="1"/>
        <rFont val="Times New Roman"/>
        <family val="1"/>
      </rPr>
      <t>⽣</t>
    </r>
    <r>
      <rPr>
        <sz val="10"/>
        <color theme="1"/>
        <rFont val="細明體"/>
        <family val="3"/>
        <charset val="136"/>
      </rPr>
      <t>理習性要求。
光照充分的葉片細胞排列緊密，表</t>
    </r>
    <r>
      <rPr>
        <sz val="10"/>
        <color theme="1"/>
        <rFont val="Times New Roman"/>
        <family val="1"/>
      </rPr>
      <t>⽪</t>
    </r>
    <r>
      <rPr>
        <sz val="10"/>
        <color theme="1"/>
        <rFont val="細明體"/>
        <family val="3"/>
        <charset val="136"/>
      </rPr>
      <t>細胞較厚，葉片比較肥厚、堅實，葉</t>
    </r>
    <r>
      <rPr>
        <sz val="10"/>
        <color theme="1"/>
        <rFont val="Times New Roman"/>
        <family val="1"/>
      </rPr>
      <t>⾊</t>
    </r>
    <r>
      <rPr>
        <sz val="10"/>
        <color theme="1"/>
        <rFont val="細明體"/>
        <family val="3"/>
        <charset val="136"/>
      </rPr>
      <t>相對深</t>
    </r>
    <r>
      <rPr>
        <sz val="10"/>
        <color theme="1"/>
        <rFont val="Times New Roman"/>
        <family val="1"/>
      </rPr>
      <t>⽽</t>
    </r>
    <r>
      <rPr>
        <sz val="10"/>
        <color theme="1"/>
        <rFont val="細明體"/>
        <family val="3"/>
        <charset val="136"/>
      </rPr>
      <t>有光澤，品質成分含量豐富，製成的茶葉滋味濃厚；相反，光照條件差的枝條發育就細弱，葉片</t>
    </r>
    <r>
      <rPr>
        <sz val="10"/>
        <color theme="1"/>
        <rFont val="Times New Roman"/>
        <family val="1"/>
      </rPr>
      <t>⼤⽽</t>
    </r>
    <r>
      <rPr>
        <sz val="10"/>
        <color theme="1"/>
        <rFont val="細明體"/>
        <family val="3"/>
        <charset val="136"/>
      </rPr>
      <t>薄，葉</t>
    </r>
    <r>
      <rPr>
        <sz val="10"/>
        <color theme="1"/>
        <rFont val="Times New Roman"/>
        <family val="1"/>
      </rPr>
      <t>⾊</t>
    </r>
    <r>
      <rPr>
        <sz val="10"/>
        <color theme="1"/>
        <rFont val="細明體"/>
        <family val="3"/>
        <charset val="136"/>
      </rPr>
      <t>淺，質地較鬆軟，</t>
    </r>
    <r>
      <rPr>
        <sz val="10"/>
        <color theme="1"/>
        <rFont val="Times New Roman"/>
        <family val="1"/>
      </rPr>
      <t>⽔</t>
    </r>
    <r>
      <rPr>
        <sz val="10"/>
        <color theme="1"/>
        <rFont val="細明體"/>
        <family val="3"/>
        <charset val="136"/>
      </rPr>
      <t>分含量相對增</t>
    </r>
    <r>
      <rPr>
        <sz val="10"/>
        <color theme="1"/>
        <rFont val="Times New Roman"/>
        <family val="1"/>
      </rPr>
      <t>⾼</t>
    </r>
    <r>
      <rPr>
        <sz val="10"/>
        <color theme="1"/>
        <rFont val="細明體"/>
        <family val="3"/>
        <charset val="136"/>
      </rPr>
      <t>，茶葉滋味表現淡薄。
適當減弱光照時，茶芽中的氮化物會明顯提</t>
    </r>
    <r>
      <rPr>
        <sz val="10"/>
        <color theme="1"/>
        <rFont val="Times New Roman"/>
        <family val="1"/>
      </rPr>
      <t>⾼</t>
    </r>
    <r>
      <rPr>
        <sz val="10"/>
        <color theme="1"/>
        <rFont val="細明體"/>
        <family val="3"/>
        <charset val="136"/>
      </rPr>
      <t>，</t>
    </r>
    <r>
      <rPr>
        <sz val="10"/>
        <color theme="1"/>
        <rFont val="Times New Roman"/>
        <family val="1"/>
      </rPr>
      <t>⽽</t>
    </r>
    <r>
      <rPr>
        <sz val="10"/>
        <color theme="1"/>
        <rFont val="細明體"/>
        <family val="3"/>
        <charset val="136"/>
      </rPr>
      <t>可溶性醣和茶多酚等則會相對減少，但是茶葉的特徵物質—茶氨酸，以及與茶葉品質密切相關的</t>
    </r>
    <r>
      <rPr>
        <sz val="10"/>
        <color theme="1"/>
        <rFont val="Times New Roman"/>
        <family val="1"/>
      </rPr>
      <t>⾕</t>
    </r>
    <r>
      <rPr>
        <sz val="10"/>
        <color theme="1"/>
        <rFont val="細明體"/>
        <family val="3"/>
        <charset val="136"/>
      </rPr>
      <t>氨酸，天</t>
    </r>
    <r>
      <rPr>
        <sz val="10"/>
        <color theme="1"/>
        <rFont val="Times New Roman"/>
        <family val="1"/>
      </rPr>
      <t>⾨</t>
    </r>
    <r>
      <rPr>
        <sz val="10"/>
        <color theme="1"/>
        <rFont val="細明體"/>
        <family val="3"/>
        <charset val="136"/>
      </rPr>
      <t>冬氨酸，絲氨酸等，在遮光條件下其含量均有明顯增加。顯</t>
    </r>
    <r>
      <rPr>
        <sz val="10"/>
        <color theme="1"/>
        <rFont val="Times New Roman"/>
        <family val="1"/>
      </rPr>
      <t>⽰</t>
    </r>
    <r>
      <rPr>
        <sz val="10"/>
        <color theme="1"/>
        <rFont val="細明體"/>
        <family val="3"/>
        <charset val="136"/>
      </rPr>
      <t>光照較弱，茶葉品質香氣</t>
    </r>
    <r>
      <rPr>
        <sz val="10"/>
        <color theme="1"/>
        <rFont val="Times New Roman"/>
        <family val="1"/>
      </rPr>
      <t>⾼</t>
    </r>
    <r>
      <rPr>
        <sz val="10"/>
        <color theme="1"/>
        <rFont val="細明體"/>
        <family val="3"/>
        <charset val="136"/>
      </rPr>
      <t>、滋味</t>
    </r>
    <r>
      <rPr>
        <sz val="10"/>
        <color theme="1"/>
        <rFont val="Times New Roman"/>
        <family val="1"/>
      </rPr>
      <t>⽢</t>
    </r>
    <r>
      <rPr>
        <sz val="10"/>
        <color theme="1"/>
        <rFont val="細明體"/>
        <family val="3"/>
        <charset val="136"/>
      </rPr>
      <t>醇、湯汁圓潤，反之</t>
    </r>
    <r>
      <rPr>
        <sz val="10"/>
        <color theme="1"/>
        <rFont val="Times New Roman"/>
        <family val="1"/>
      </rPr>
      <t>⽣⻑</t>
    </r>
    <r>
      <rPr>
        <sz val="10"/>
        <color theme="1"/>
        <rFont val="細明體"/>
        <family val="3"/>
        <charset val="136"/>
      </rPr>
      <t>在</t>
    </r>
    <r>
      <rPr>
        <sz val="10"/>
        <color theme="1"/>
        <rFont val="Times New Roman"/>
        <family val="1"/>
      </rPr>
      <t>⽇</t>
    </r>
    <r>
      <rPr>
        <sz val="10"/>
        <color theme="1"/>
        <rFont val="細明體"/>
        <family val="3"/>
        <charset val="136"/>
      </rPr>
      <t>照較烈，有太陽直射光照的地區品質較差。
就茶葉品質</t>
    </r>
    <r>
      <rPr>
        <sz val="10"/>
        <color theme="1"/>
        <rFont val="Times New Roman"/>
        <family val="1"/>
      </rPr>
      <t>⽽⾔</t>
    </r>
    <r>
      <rPr>
        <sz val="10"/>
        <color theme="1"/>
        <rFont val="細明體"/>
        <family val="3"/>
        <charset val="136"/>
      </rPr>
      <t>，低溫</t>
    </r>
    <r>
      <rPr>
        <sz val="10"/>
        <color theme="1"/>
        <rFont val="Times New Roman"/>
        <family val="1"/>
      </rPr>
      <t>⾼</t>
    </r>
    <r>
      <rPr>
        <sz val="10"/>
        <color theme="1"/>
        <rFont val="細明體"/>
        <family val="3"/>
        <charset val="136"/>
      </rPr>
      <t>濕、光照強度較弱條件下</t>
    </r>
    <r>
      <rPr>
        <sz val="10"/>
        <color theme="1"/>
        <rFont val="Times New Roman"/>
        <family val="1"/>
      </rPr>
      <t>⽣⻑</t>
    </r>
    <r>
      <rPr>
        <sz val="10"/>
        <color theme="1"/>
        <rFont val="細明體"/>
        <family val="3"/>
        <charset val="136"/>
      </rPr>
      <t>的鮮葉胺基酸含量較</t>
    </r>
    <r>
      <rPr>
        <sz val="10"/>
        <color theme="1"/>
        <rFont val="Times New Roman"/>
        <family val="1"/>
      </rPr>
      <t>⾼</t>
    </r>
    <r>
      <rPr>
        <sz val="10"/>
        <color theme="1"/>
        <rFont val="細明體"/>
        <family val="3"/>
        <charset val="136"/>
      </rPr>
      <t>，有利於製成香味較醇的綠茶；在</t>
    </r>
    <r>
      <rPr>
        <sz val="10"/>
        <color theme="1"/>
        <rFont val="Times New Roman"/>
        <family val="1"/>
      </rPr>
      <t>⾼</t>
    </r>
    <r>
      <rPr>
        <sz val="10"/>
        <color theme="1"/>
        <rFont val="細明體"/>
        <family val="3"/>
        <charset val="136"/>
      </rPr>
      <t>溫、強</t>
    </r>
    <r>
      <rPr>
        <sz val="10"/>
        <color theme="1"/>
        <rFont val="Times New Roman"/>
        <family val="1"/>
      </rPr>
      <t>⽇</t>
    </r>
    <r>
      <rPr>
        <sz val="10"/>
        <color theme="1"/>
        <rFont val="細明體"/>
        <family val="3"/>
        <charset val="136"/>
      </rPr>
      <t>照條件下</t>
    </r>
    <r>
      <rPr>
        <sz val="10"/>
        <color theme="1"/>
        <rFont val="Times New Roman"/>
        <family val="1"/>
      </rPr>
      <t>⽣⻑</t>
    </r>
    <r>
      <rPr>
        <sz val="10"/>
        <color theme="1"/>
        <rFont val="細明體"/>
        <family val="3"/>
        <charset val="136"/>
      </rPr>
      <t>的鮮葉多酚類含量較</t>
    </r>
    <r>
      <rPr>
        <sz val="10"/>
        <color theme="1"/>
        <rFont val="Times New Roman"/>
        <family val="1"/>
      </rPr>
      <t>⾼</t>
    </r>
    <r>
      <rPr>
        <sz val="10"/>
        <color theme="1"/>
        <rFont val="細明體"/>
        <family val="3"/>
        <charset val="136"/>
      </rPr>
      <t>，有利於製成湯</t>
    </r>
    <r>
      <rPr>
        <sz val="10"/>
        <color theme="1"/>
        <rFont val="Times New Roman"/>
        <family val="1"/>
      </rPr>
      <t>⾊</t>
    </r>
    <r>
      <rPr>
        <sz val="10"/>
        <color theme="1"/>
        <rFont val="細明體"/>
        <family val="3"/>
        <charset val="136"/>
      </rPr>
      <t>濃</t>
    </r>
    <r>
      <rPr>
        <sz val="10"/>
        <color theme="1"/>
        <rFont val="Times New Roman"/>
        <family val="1"/>
      </rPr>
      <t>⽽</t>
    </r>
    <r>
      <rPr>
        <sz val="10"/>
        <color theme="1"/>
        <rFont val="細明體"/>
        <family val="3"/>
        <charset val="136"/>
      </rPr>
      <t>味強烈的紅茶。</t>
    </r>
    <phoneticPr fontId="1" type="noConversion"/>
  </si>
  <si>
    <t>備註</t>
    <phoneticPr fontId="1" type="noConversion"/>
  </si>
  <si>
    <t>Water accumulated at these locations ?</t>
    <phoneticPr fontId="1" type="noConversion"/>
  </si>
  <si>
    <t>備註</t>
    <phoneticPr fontId="1" type="noConversion"/>
  </si>
  <si>
    <r>
      <rPr>
        <sz val="10"/>
        <color theme="1"/>
        <rFont val="細明體"/>
        <family val="3"/>
        <charset val="136"/>
      </rPr>
      <t>在冬季晴天的條件下，冷空氣會向低洼地匯集，但是在寒流來襲時，坡頂迎風</t>
    </r>
    <r>
      <rPr>
        <sz val="10"/>
        <color theme="1"/>
        <rFont val="Times New Roman"/>
        <family val="1"/>
      </rPr>
      <t>⾯</t>
    </r>
    <r>
      <rPr>
        <sz val="10"/>
        <color theme="1"/>
        <rFont val="細明體"/>
        <family val="3"/>
        <charset val="136"/>
      </rPr>
      <t>的溫度低，坡腳的溫度反</t>
    </r>
    <r>
      <rPr>
        <sz val="10"/>
        <color theme="1"/>
        <rFont val="Times New Roman"/>
        <family val="1"/>
      </rPr>
      <t>⽽</t>
    </r>
    <r>
      <rPr>
        <sz val="10"/>
        <color theme="1"/>
        <rFont val="細明體"/>
        <family val="3"/>
        <charset val="136"/>
      </rPr>
      <t>較</t>
    </r>
    <r>
      <rPr>
        <sz val="10"/>
        <color theme="1"/>
        <rFont val="Times New Roman"/>
        <family val="1"/>
      </rPr>
      <t>⾼</t>
    </r>
    <r>
      <rPr>
        <sz val="10"/>
        <color theme="1"/>
        <rFont val="細明體"/>
        <family val="3"/>
        <charset val="136"/>
      </rPr>
      <t>，受凍害的地</t>
    </r>
    <r>
      <rPr>
        <sz val="10"/>
        <color theme="1"/>
        <rFont val="Times New Roman"/>
        <family val="1"/>
      </rPr>
      <t>⽅</t>
    </r>
    <r>
      <rPr>
        <sz val="10"/>
        <color theme="1"/>
        <rFont val="細明體"/>
        <family val="3"/>
        <charset val="136"/>
      </rPr>
      <t>在坡頂</t>
    </r>
    <r>
      <rPr>
        <sz val="10"/>
        <color theme="1"/>
        <rFont val="Times New Roman"/>
        <family val="1"/>
      </rPr>
      <t>⽽</t>
    </r>
    <r>
      <rPr>
        <sz val="10"/>
        <color theme="1"/>
        <rFont val="細明體"/>
        <family val="3"/>
        <charset val="136"/>
      </rPr>
      <t>不是</t>
    </r>
    <r>
      <rPr>
        <sz val="10"/>
        <color theme="1"/>
        <rFont val="Times New Roman"/>
        <family val="1"/>
      </rPr>
      <t>⾕</t>
    </r>
    <r>
      <rPr>
        <sz val="10"/>
        <color theme="1"/>
        <rFont val="細明體"/>
        <family val="3"/>
        <charset val="136"/>
      </rPr>
      <t xml:space="preserve">底，因此凍害嚴重的地區，不宜在坡頂和坡腳種茶。
</t>
    </r>
    <phoneticPr fontId="1" type="noConversion"/>
  </si>
  <si>
    <t>茶樹生長可能受到缺水影響。土壤含水量低於有效水量(田間容水量-永久凋萎點)40~50%時，即有缺乏之虞；若低於20%則嚴重缺水。</t>
    <phoneticPr fontId="1" type="noConversion"/>
  </si>
  <si>
    <t>茶樹生長可能受到缺水影響。</t>
    <phoneticPr fontId="1" type="noConversion"/>
  </si>
  <si>
    <t>冬季在有水狀況下，只要茶樹開花不多，葉片固定的光合產物會誘使根系生長，使茶樹更為強健；但若根無法從葉片得到足夠的養分，則根系的生長很快減少或停止。</t>
    <phoneticPr fontId="1" type="noConversion"/>
  </si>
  <si>
    <t>茶芽萌芽期間若連續5~7天不降雨，茶樹葉片失去光澤、生長緩慢、芽葉瘦小現象，代表茶樹缺水，應予灌溉。葉片出現萎凋徵狀前肉眼不易察覺，一旦葉片水勢降到凋萎點後即顯現徵狀，一兩天內即發生枝枯現象。</t>
    <phoneticPr fontId="1" type="noConversion"/>
  </si>
  <si>
    <r>
      <rPr>
        <sz val="10"/>
        <color theme="1"/>
        <rFont val="細明體"/>
        <family val="3"/>
        <charset val="136"/>
      </rPr>
      <t>茶園行間敷蓋</t>
    </r>
    <r>
      <rPr>
        <sz val="10"/>
        <color theme="1"/>
        <rFont val="Times New Roman"/>
        <family val="1"/>
      </rPr>
      <t>(</t>
    </r>
    <r>
      <rPr>
        <sz val="10"/>
        <color theme="1"/>
        <rFont val="細明體"/>
        <family val="3"/>
        <charset val="136"/>
      </rPr>
      <t>稻草、穀殼、花生殼、蔗渣</t>
    </r>
    <r>
      <rPr>
        <sz val="10"/>
        <color theme="1"/>
        <rFont val="Times New Roman"/>
        <family val="1"/>
      </rPr>
      <t>)</t>
    </r>
    <r>
      <rPr>
        <sz val="10"/>
        <color theme="1"/>
        <rFont val="細明體"/>
        <family val="3"/>
        <charset val="136"/>
      </rPr>
      <t>；淺耕除草，減少土表蒸發；冬季深耕結合高纖維質有機質肥料施用，改善土壤理化性，都可增加土壤保水能力。
旱害發生後，應停止施肥並進行淺耕及敷蓋，停止施肥可避免土壤溶液濃度增加，降低根系吸收水分能力；淺耕可破壞土壤表層毛細管作用，減少土壤水分蒸發。
若萌芽延遲，發出新芽葉片略帶黃、無翠綠及葉片萎凋捲曲，全園平均枯葉與枯枝率在</t>
    </r>
    <r>
      <rPr>
        <sz val="10"/>
        <color theme="1"/>
        <rFont val="Times New Roman"/>
        <family val="1"/>
      </rPr>
      <t>20%</t>
    </r>
    <r>
      <rPr>
        <sz val="10"/>
        <color theme="1"/>
        <rFont val="細明體"/>
        <family val="3"/>
        <charset val="136"/>
      </rPr>
      <t>以下，可進行淺剪作業，從樹冠面上剪除</t>
    </r>
    <r>
      <rPr>
        <sz val="10"/>
        <color theme="1"/>
        <rFont val="Times New Roman"/>
        <family val="1"/>
      </rPr>
      <t>3-5</t>
    </r>
    <r>
      <rPr>
        <sz val="10"/>
        <color theme="1"/>
        <rFont val="細明體"/>
        <family val="3"/>
        <charset val="136"/>
      </rPr>
      <t>公分；若新芽枯萎，全園平均枯葉與枯枝率在在</t>
    </r>
    <r>
      <rPr>
        <sz val="10"/>
        <color theme="1"/>
        <rFont val="Times New Roman"/>
        <family val="1"/>
      </rPr>
      <t>20%~50%</t>
    </r>
    <r>
      <rPr>
        <sz val="10"/>
        <color theme="1"/>
        <rFont val="細明體"/>
        <family val="3"/>
        <charset val="136"/>
      </rPr>
      <t>間，可在樹高之一半處進行中剪枝；全園平均枯葉與枯枝率超過</t>
    </r>
    <r>
      <rPr>
        <sz val="10"/>
        <color theme="1"/>
        <rFont val="Times New Roman"/>
        <family val="1"/>
      </rPr>
      <t>50%</t>
    </r>
    <r>
      <rPr>
        <sz val="10"/>
        <color theme="1"/>
        <rFont val="細明體"/>
        <family val="3"/>
        <charset val="136"/>
      </rPr>
      <t>，可考慮台刈或全園更新。剪枝的目的是降低葉片水分蒸散量，且不論淺剪枝、中剪枝、深剪枝或台刈後除應適時適量灌溉，並應進行茶園敷蓋工作，以保持土中濕潤。
成木園因旱害造成缺株，可用兩年生茶樹苗進行補植；如屬三年生以內幼木園，當年冬季應立即補植。補植穴中，以腐熟的高纖維質有機質肥料做基肥，並避免苗木根系直接接觸造成肥傷。</t>
    </r>
    <phoneticPr fontId="1" type="noConversion"/>
  </si>
  <si>
    <t>灌溉水量不足。</t>
    <phoneticPr fontId="1" type="noConversion"/>
  </si>
  <si>
    <r>
      <rPr>
        <sz val="10"/>
        <color theme="1"/>
        <rFont val="細明體"/>
        <family val="3"/>
        <charset val="136"/>
      </rPr>
      <t>茶樹每日蒸散量若以</t>
    </r>
    <r>
      <rPr>
        <sz val="10"/>
        <color theme="1"/>
        <rFont val="Times New Roman"/>
        <family val="1"/>
      </rPr>
      <t>4mm</t>
    </r>
    <r>
      <rPr>
        <sz val="10"/>
        <color theme="1"/>
        <rFont val="細明體"/>
        <family val="3"/>
        <charset val="136"/>
      </rPr>
      <t>計，每公頃每日需灌水量約</t>
    </r>
    <r>
      <rPr>
        <sz val="10"/>
        <color theme="1"/>
        <rFont val="Times New Roman"/>
        <family val="1"/>
      </rPr>
      <t>40</t>
    </r>
    <r>
      <rPr>
        <sz val="10"/>
        <color theme="1"/>
        <rFont val="細明體"/>
        <family val="3"/>
        <charset val="136"/>
      </rPr>
      <t>立方公尺。若每日每公頃可取得</t>
    </r>
    <r>
      <rPr>
        <sz val="10"/>
        <color theme="1"/>
        <rFont val="Times New Roman"/>
        <family val="1"/>
      </rPr>
      <t>30</t>
    </r>
    <r>
      <rPr>
        <sz val="10"/>
        <color theme="1"/>
        <rFont val="細明體"/>
        <family val="3"/>
        <charset val="136"/>
      </rPr>
      <t>立方公尺以上之水量，可採用噴洒灌溉；若每日可取水量僅</t>
    </r>
    <r>
      <rPr>
        <sz val="10"/>
        <color theme="1"/>
        <rFont val="Times New Roman"/>
        <family val="1"/>
      </rPr>
      <t>20</t>
    </r>
    <r>
      <rPr>
        <sz val="10"/>
        <color theme="1"/>
        <rFont val="細明體"/>
        <family val="3"/>
        <charset val="136"/>
      </rPr>
      <t>立方公尺以下，則須考慮較省水的</t>
    </r>
    <r>
      <rPr>
        <sz val="10"/>
        <color theme="1"/>
        <rFont val="Times New Roman"/>
        <family val="1"/>
      </rPr>
      <t>PE</t>
    </r>
    <r>
      <rPr>
        <sz val="10"/>
        <color theme="1"/>
        <rFont val="細明體"/>
        <family val="3"/>
        <charset val="136"/>
      </rPr>
      <t>穿孔管或滴水灌溉的方式。蓄水池容量應以每公頃配備</t>
    </r>
    <r>
      <rPr>
        <sz val="10"/>
        <color theme="1"/>
        <rFont val="Times New Roman"/>
        <family val="1"/>
      </rPr>
      <t>40</t>
    </r>
    <r>
      <rPr>
        <sz val="10"/>
        <color theme="1"/>
        <rFont val="細明體"/>
        <family val="3"/>
        <charset val="136"/>
      </rPr>
      <t>立方公尺以上為適宜。
一次足量供水效果比少量多施方式好，可採用週期性灌溉方式，每星期輪灌一次，一次將七天的灌溉水量灌足</t>
    </r>
    <r>
      <rPr>
        <sz val="10"/>
        <color theme="1"/>
        <rFont val="Times New Roman"/>
        <family val="1"/>
      </rPr>
      <t>(</t>
    </r>
    <r>
      <rPr>
        <sz val="10"/>
        <color theme="1"/>
        <rFont val="細明體"/>
        <family val="3"/>
        <charset val="136"/>
      </rPr>
      <t>每公頃需</t>
    </r>
    <r>
      <rPr>
        <sz val="10"/>
        <color theme="1"/>
        <rFont val="Times New Roman"/>
        <family val="1"/>
      </rPr>
      <t>280</t>
    </r>
    <r>
      <rPr>
        <sz val="10"/>
        <color theme="1"/>
        <rFont val="細明體"/>
        <family val="3"/>
        <charset val="136"/>
      </rPr>
      <t>立方公尺</t>
    </r>
    <r>
      <rPr>
        <sz val="10"/>
        <color theme="1"/>
        <rFont val="Times New Roman"/>
        <family val="1"/>
      </rPr>
      <t>)</t>
    </r>
    <r>
      <rPr>
        <sz val="10"/>
        <color theme="1"/>
        <rFont val="細明體"/>
        <family val="3"/>
        <charset val="136"/>
      </rPr>
      <t>。</t>
    </r>
    <phoneticPr fontId="1" type="noConversion"/>
  </si>
  <si>
    <t>即使看到有灌溉措施(噴灌、PE穿孔管或滴灌)，也要向茶農確認旱季時是否灌溉水源(量)不夠。</t>
    <phoneticPr fontId="1" type="noConversion"/>
  </si>
  <si>
    <t>檢查歷史氣象紀錄。</t>
    <phoneticPr fontId="1" type="noConversion"/>
  </si>
  <si>
    <t>Q2803</t>
  </si>
  <si>
    <t>Q2805</t>
  </si>
  <si>
    <t>無人機影像分析</t>
    <phoneticPr fontId="1" type="noConversion"/>
  </si>
  <si>
    <t>利用無人機和衛星遙測影像可以從俯視角度評估茶園內茶樹生長的時空變化。</t>
    <phoneticPr fontId="1" type="noConversion"/>
  </si>
  <si>
    <t>宜繼續進行衛星影像分析，瞭解在其它日期茶樹生長情形的空間變化。</t>
    <phoneticPr fontId="1" type="noConversion"/>
  </si>
  <si>
    <t>也可利用Google Earth影像</t>
    <phoneticPr fontId="1" type="noConversion"/>
  </si>
  <si>
    <t>近期連續10日以上未降雨？</t>
    <phoneticPr fontId="1" type="noConversion"/>
  </si>
  <si>
    <t>N11</t>
    <phoneticPr fontId="1" type="noConversion"/>
  </si>
  <si>
    <t>N12</t>
    <phoneticPr fontId="1" type="noConversion"/>
  </si>
  <si>
    <t>N13</t>
    <phoneticPr fontId="1" type="noConversion"/>
  </si>
  <si>
    <t>N21</t>
    <phoneticPr fontId="1" type="noConversion"/>
  </si>
  <si>
    <t>利用遙測影像進行茶園評估？</t>
    <phoneticPr fontId="1" type="noConversion"/>
  </si>
  <si>
    <r>
      <t xml:space="preserve">進行無人機影像分析？  </t>
    </r>
    <r>
      <rPr>
        <sz val="10"/>
        <color rgb="FF0070C0"/>
        <rFont val="新細明體"/>
        <family val="1"/>
        <charset val="136"/>
      </rPr>
      <t>(若勾選"是", 請先按"分析"再按"下一步")</t>
    </r>
    <phoneticPr fontId="1" type="noConversion"/>
  </si>
  <si>
    <t>現場觀察評估</t>
    <phoneticPr fontId="1" type="noConversion"/>
  </si>
  <si>
    <t>田間管理認真。</t>
    <phoneticPr fontId="1" type="noConversion"/>
  </si>
  <si>
    <t>茶農樂於採納和配合可能建議的改良措施？</t>
    <phoneticPr fontId="1" type="noConversion"/>
  </si>
  <si>
    <t>願意採納和配合建議的改良措施。</t>
    <phoneticPr fontId="1" type="noConversion"/>
  </si>
  <si>
    <t>無採納改良建議意願，繼續進行問題土壤診斷意義不大。</t>
    <phoneticPr fontId="1" type="noConversion"/>
  </si>
  <si>
    <t>若有多時段影像，可留意不同日期間的差別。
若所拍無人機影像還未加入影像資料庫，可先用目視方式判別。
若此茶園還沒有無人機影像，請勾選"不清楚"。</t>
    <phoneticPr fontId="1" type="noConversion"/>
  </si>
  <si>
    <r>
      <rPr>
        <sz val="10"/>
        <color theme="1"/>
        <rFont val="新細明體"/>
        <family val="1"/>
        <charset val="136"/>
      </rPr>
      <t>該茶園</t>
    </r>
    <r>
      <rPr>
        <sz val="10"/>
        <color theme="1"/>
        <rFont val="Times New Roman"/>
        <family val="1"/>
      </rPr>
      <t>NDVI</t>
    </r>
    <r>
      <rPr>
        <sz val="10"/>
        <color theme="1"/>
        <rFont val="新細明體"/>
        <family val="1"/>
        <charset val="136"/>
      </rPr>
      <t>指數分佈有明顯的空間變異？</t>
    </r>
    <phoneticPr fontId="1" type="noConversion"/>
  </si>
  <si>
    <t>茶園內茶樹葉面積指數(LAI)有不均一的現象。</t>
    <phoneticPr fontId="1" type="noConversion"/>
  </si>
  <si>
    <t>茶園內茶樹葉面積指數(LAI)沒有不均一的現象。</t>
    <phoneticPr fontId="1" type="noConversion"/>
  </si>
  <si>
    <t>茶園內應該存有明顯土壤性質的空間變異。</t>
    <phoneticPr fontId="1" type="noConversion"/>
  </si>
  <si>
    <t>參考肥料使用和灌溉狀況調查填寫經驗。</t>
    <phoneticPr fontId="1" type="noConversion"/>
  </si>
  <si>
    <t>N1100</t>
    <phoneticPr fontId="1" type="noConversion"/>
  </si>
  <si>
    <t>診斷是否受到乾旱影響</t>
    <phoneticPr fontId="1" type="noConversion"/>
  </si>
  <si>
    <t>產量受到乾旱影響</t>
    <phoneticPr fontId="1" type="noConversion"/>
  </si>
  <si>
    <t>茶園南邊受高大樹(竹)林影響導致日照不足。</t>
    <phoneticPr fontId="1" type="noConversion"/>
  </si>
  <si>
    <t>茶園南邊被高大樹(竹)林圍繞？</t>
    <phoneticPr fontId="1" type="noConversion"/>
  </si>
  <si>
    <t>竹林地下根系也可能延伸進入茶園，競爭水分和養分。</t>
    <phoneticPr fontId="1" type="noConversion"/>
  </si>
  <si>
    <t>N1000</t>
    <phoneticPr fontId="1" type="noConversion"/>
  </si>
  <si>
    <t>是否有日照不足問題</t>
    <phoneticPr fontId="1" type="noConversion"/>
  </si>
  <si>
    <t>氣象環境影響診斷</t>
    <phoneticPr fontId="1" type="noConversion"/>
  </si>
  <si>
    <t>針對產量是否受到氣象環境影響進行診斷。</t>
    <phoneticPr fontId="1" type="noConversion"/>
  </si>
  <si>
    <t>診斷氣象環境之影響？</t>
    <phoneticPr fontId="1" type="noConversion"/>
  </si>
  <si>
    <r>
      <rPr>
        <sz val="10"/>
        <color theme="1"/>
        <rFont val="細明體"/>
        <family val="3"/>
        <charset val="136"/>
      </rPr>
      <t>陽坡</t>
    </r>
    <r>
      <rPr>
        <sz val="10"/>
        <color theme="1"/>
        <rFont val="Times New Roman"/>
        <family val="1"/>
      </rPr>
      <t>⽅</t>
    </r>
    <r>
      <rPr>
        <sz val="10"/>
        <color theme="1"/>
        <rFont val="細明體"/>
        <family val="3"/>
        <charset val="136"/>
      </rPr>
      <t>向獲得太陽輻射及熱量多，所以溫度較</t>
    </r>
    <r>
      <rPr>
        <sz val="10"/>
        <color theme="1"/>
        <rFont val="Times New Roman"/>
        <family val="1"/>
      </rPr>
      <t>⾼</t>
    </r>
    <r>
      <rPr>
        <sz val="10"/>
        <color theme="1"/>
        <rFont val="細明體"/>
        <family val="3"/>
        <charset val="136"/>
      </rPr>
      <t>、相對濕度低、</t>
    </r>
    <r>
      <rPr>
        <sz val="10"/>
        <color theme="1"/>
        <rFont val="Times New Roman"/>
        <family val="1"/>
      </rPr>
      <t>⼟</t>
    </r>
    <r>
      <rPr>
        <sz val="10"/>
        <color theme="1"/>
        <rFont val="細明體"/>
        <family val="3"/>
        <charset val="136"/>
      </rPr>
      <t>壤較乾燥，</t>
    </r>
    <r>
      <rPr>
        <sz val="10"/>
        <color theme="1"/>
        <rFont val="Times New Roman"/>
        <family val="1"/>
      </rPr>
      <t>⽽</t>
    </r>
    <r>
      <rPr>
        <sz val="10"/>
        <color theme="1"/>
        <rFont val="細明體"/>
        <family val="3"/>
        <charset val="136"/>
      </rPr>
      <t>陰坡的情況正好相反。因此陽坡茶園的茶樹</t>
    </r>
    <r>
      <rPr>
        <sz val="10"/>
        <color theme="1"/>
        <rFont val="Times New Roman"/>
        <family val="1"/>
      </rPr>
      <t>⽣⻑</t>
    </r>
    <r>
      <rPr>
        <sz val="10"/>
        <color theme="1"/>
        <rFont val="細明體"/>
        <family val="3"/>
        <charset val="136"/>
      </rPr>
      <t>勢以春冬茶優於夏秋茶，</t>
    </r>
    <r>
      <rPr>
        <sz val="10"/>
        <color theme="1"/>
        <rFont val="Times New Roman"/>
        <family val="1"/>
      </rPr>
      <t>⽽</t>
    </r>
    <r>
      <rPr>
        <sz val="10"/>
        <color theme="1"/>
        <rFont val="細明體"/>
        <family val="3"/>
        <charset val="136"/>
      </rPr>
      <t>陰坡茶園則夏秋茶優於春冬茶。</t>
    </r>
    <phoneticPr fontId="1" type="noConversion"/>
  </si>
  <si>
    <t>北向陡坡所接收的日射量原本就較少。</t>
    <phoneticPr fontId="1" type="noConversion"/>
  </si>
  <si>
    <t>應該只有緊靠南邊的茶樹才會被影響。</t>
    <phoneticPr fontId="1" type="noConversion"/>
  </si>
  <si>
    <t xml:space="preserve">新芽與嫩葉有局部褐化屬輕度被害，嫩枝也出現部分褐化屬中度被害，整個嫩芽都褐化屬重度被害。
</t>
    <phoneticPr fontId="1" type="noConversion"/>
  </si>
  <si>
    <t>檢查歷史氣象紀錄。
茶小葉種較耐凍霜害，約在-10℃；大葉種較不耐凍霜害，約在-5℃。青心烏龍、大葉烏龍屬於中耐凍霜品種；台茶12號與山茶屬於較不耐凍霜品種。
茶樹低於10℃茶樹開始休眠，12月至1月為茶樹休眠期，較不容易受到凍霜害。晚秋與冬季時萌發的芽葉可耐受較低的溫度，春季萌發的幼嫩芽葉較容易受傷，在-2℃就會產生凍霜害。北向茶園較南向茶園易發生凍霜害；山谷處茶園受低溫沉降影響，也容易發生凍霜害。</t>
    <phoneticPr fontId="1" type="noConversion"/>
  </si>
  <si>
    <t>近期氣溫曾低過10℃？</t>
    <phoneticPr fontId="1" type="noConversion"/>
  </si>
  <si>
    <r>
      <rPr>
        <sz val="10"/>
        <color theme="1"/>
        <rFont val="細明體"/>
        <family val="3"/>
        <charset val="136"/>
      </rPr>
      <t>日平均氣溫</t>
    </r>
    <r>
      <rPr>
        <sz val="10"/>
        <color theme="1"/>
        <rFont val="Times New Roman"/>
        <family val="1"/>
      </rPr>
      <t>10</t>
    </r>
    <r>
      <rPr>
        <sz val="10"/>
        <color theme="1"/>
        <rFont val="細明體"/>
        <family val="3"/>
        <charset val="136"/>
      </rPr>
      <t>℃，清晨最低溫即有可能低於</t>
    </r>
    <r>
      <rPr>
        <sz val="10"/>
        <color theme="1"/>
        <rFont val="Times New Roman"/>
        <family val="1"/>
      </rPr>
      <t>0</t>
    </r>
    <r>
      <rPr>
        <sz val="10"/>
        <color theme="1"/>
        <rFont val="細明體"/>
        <family val="3"/>
        <charset val="136"/>
      </rPr>
      <t>℃</t>
    </r>
    <r>
      <rPr>
        <sz val="10"/>
        <color theme="1"/>
        <rFont val="Times New Roman"/>
        <family val="1"/>
      </rPr>
      <t>(</t>
    </r>
    <r>
      <rPr>
        <sz val="10"/>
        <color theme="1"/>
        <rFont val="細明體"/>
        <family val="3"/>
        <charset val="136"/>
      </rPr>
      <t>輻射冷卻</t>
    </r>
    <r>
      <rPr>
        <sz val="10"/>
        <color theme="1"/>
        <rFont val="Times New Roman"/>
        <family val="1"/>
      </rPr>
      <t>)</t>
    </r>
    <r>
      <rPr>
        <sz val="10"/>
        <color theme="1"/>
        <rFont val="細明體"/>
        <family val="3"/>
        <charset val="136"/>
      </rPr>
      <t>。</t>
    </r>
    <phoneticPr fontId="1" type="noConversion"/>
  </si>
  <si>
    <t>秋冬季少施氮肥，多施磷、鉀肥，可增加茶樹植體糖分與蛋白質蓄積，增強抗凍霜能力。
地面敷蓋稻草、作物莖稈、花生殼、蔗渣等有機物，以提高地溫，防止根系受損。
寒流來襲前，於樹冠面覆蓋PE塑膠布、不織布、或黑色紗網，減輕茶芽遭受降霜或積雪之凍害。
寒流期間若夜間天空晴朗，可利用高架風扇，打破地面穩定層，以減輕輻射冷卻的傷害。
發生凍害後，適量增加磷、鉀肥，有助恢復茶樹樹勢及新芽萌發。天氣回溫後，要將變焦灼的芽葉和枯死的枝條剪除，防止蔓延危害整株茶樹。</t>
    <phoneticPr fontId="1" type="noConversion"/>
  </si>
  <si>
    <t>茶樹受凍和修剪對茶樹是一種生理創傷，會消耗茶樹體內大量的儲藏養分，為保證土壤能提供充足營養，應追施速效氮肥，並搭配磷鉀肥，以增強樹勢。</t>
    <phoneticPr fontId="1" type="noConversion"/>
  </si>
  <si>
    <r>
      <rPr>
        <sz val="10"/>
        <color theme="1"/>
        <rFont val="細明體"/>
        <family val="3"/>
        <charset val="136"/>
      </rPr>
      <t>為加速茶樹對水分和養分的吸收，需輔以葉面施肥，用</t>
    </r>
    <r>
      <rPr>
        <sz val="10"/>
        <color theme="1"/>
        <rFont val="Times New Roman"/>
        <family val="1"/>
      </rPr>
      <t>1%</t>
    </r>
    <r>
      <rPr>
        <sz val="10"/>
        <color theme="1"/>
        <rFont val="細明體"/>
        <family val="3"/>
        <charset val="136"/>
      </rPr>
      <t>尿素稀釋液或其他商品化葉面營養液噴施，加速新一輪芽葉萌發生長速度。</t>
    </r>
    <phoneticPr fontId="1" type="noConversion"/>
  </si>
  <si>
    <t>頂芽受到傷害，停止生長。</t>
    <phoneticPr fontId="1" type="noConversion"/>
  </si>
  <si>
    <t>#0</t>
    <phoneticPr fontId="1" type="noConversion"/>
  </si>
  <si>
    <t>Yes</t>
    <phoneticPr fontId="1" type="noConversion"/>
  </si>
  <si>
    <t>No_score</t>
    <phoneticPr fontId="1" type="noConversion"/>
  </si>
  <si>
    <t>#1111</t>
    <phoneticPr fontId="1" type="noConversion"/>
  </si>
  <si>
    <t>Having nutrient deficiency / toxicity symptoms</t>
    <phoneticPr fontId="1" type="noConversion"/>
  </si>
  <si>
    <t>#0</t>
    <phoneticPr fontId="1" type="noConversion"/>
  </si>
  <si>
    <t>Max Possible</t>
    <phoneticPr fontId="1" type="noConversion"/>
  </si>
  <si>
    <t>end of diagnosis</t>
    <phoneticPr fontId="1" type="noConversion"/>
  </si>
  <si>
    <r>
      <rPr>
        <sz val="10"/>
        <color theme="1"/>
        <rFont val="細明體"/>
        <family val="3"/>
        <charset val="136"/>
      </rPr>
      <t>問題說明</t>
    </r>
    <phoneticPr fontId="1" type="noConversion"/>
  </si>
  <si>
    <r>
      <rPr>
        <sz val="10"/>
        <color theme="1"/>
        <rFont val="新細明體"/>
        <family val="2"/>
        <charset val="136"/>
      </rPr>
      <t>圖片說明</t>
    </r>
    <phoneticPr fontId="1" type="noConversion"/>
  </si>
  <si>
    <r>
      <rPr>
        <sz val="10"/>
        <color theme="1"/>
        <rFont val="細明體"/>
        <family val="3"/>
        <charset val="136"/>
      </rPr>
      <t>處理對策</t>
    </r>
    <phoneticPr fontId="1" type="noConversion"/>
  </si>
  <si>
    <r>
      <rPr>
        <sz val="10"/>
        <color theme="1"/>
        <rFont val="細明體"/>
        <family val="3"/>
        <charset val="136"/>
      </rPr>
      <t>備註</t>
    </r>
    <phoneticPr fontId="1" type="noConversion"/>
  </si>
  <si>
    <r>
      <rPr>
        <sz val="10"/>
        <color theme="1"/>
        <rFont val="細明體"/>
        <family val="3"/>
        <charset val="136"/>
      </rPr>
      <t>老葉葉色暗綠無光澤，呈現紫紅色斑點或條紋；葉柄葉緣紫紅，易落葉。</t>
    </r>
    <phoneticPr fontId="1" type="noConversion"/>
  </si>
  <si>
    <r>
      <rPr>
        <sz val="10"/>
        <color theme="1"/>
        <rFont val="細明體"/>
        <family val="3"/>
        <charset val="136"/>
      </rPr>
      <t>氮缺乏時葉綠素合成受抑制，葉片呈黃色。嚴重時呈現褐變。因氮在植物體內之移動性大，故缺乏症先發生在老葉。</t>
    </r>
    <phoneticPr fontId="1" type="noConversion"/>
  </si>
  <si>
    <r>
      <rPr>
        <sz val="10"/>
        <color theme="1"/>
        <rFont val="細明體"/>
        <family val="3"/>
        <charset val="136"/>
      </rPr>
      <t>植物缺氮，葉片發黃始於老葉，葉片變黃無斑點，從下而上逐步擴展，嚴重時下部葉片枯黃脫落。</t>
    </r>
    <phoneticPr fontId="1" type="noConversion"/>
  </si>
  <si>
    <r>
      <rPr>
        <sz val="10"/>
        <color theme="1"/>
        <rFont val="細明體"/>
        <family val="3"/>
        <charset val="136"/>
      </rPr>
      <t>氮肥過多會導致鉀、鈣元素吸收不足。</t>
    </r>
    <phoneticPr fontId="1" type="noConversion"/>
  </si>
  <si>
    <r>
      <rPr>
        <sz val="10"/>
        <color theme="1"/>
        <rFont val="細明體"/>
        <family val="3"/>
        <charset val="136"/>
      </rPr>
      <t>中、下部葉片全面褪綠，主側脈及細脈仍為綠色，形成網狀花葉，或沿主脈兩側呈斑狀褪綠，葉緣不褪，葉片形成似「肋骨」狀黃斑。</t>
    </r>
    <phoneticPr fontId="1" type="noConversion"/>
  </si>
  <si>
    <r>
      <rPr>
        <sz val="10"/>
        <color theme="1"/>
        <rFont val="細明體"/>
        <family val="3"/>
        <charset val="136"/>
      </rPr>
      <t>老葉葉緣先發黃，焦枯似灼燒狀；葉片上出現褐色斑點或斑塊，葉脈仍保持綠色。</t>
    </r>
    <phoneticPr fontId="1" type="noConversion"/>
  </si>
  <si>
    <r>
      <rPr>
        <sz val="10"/>
        <color theme="1"/>
        <rFont val="細明體"/>
        <family val="3"/>
        <charset val="136"/>
      </rPr>
      <t>典型的氯的缺乏徵候為：葉片凋萎、小葉捲曲、褐變與黃化，與缺錳相似，嚴重抑制根生長。</t>
    </r>
    <phoneticPr fontId="1" type="noConversion"/>
  </si>
  <si>
    <r>
      <rPr>
        <sz val="10"/>
        <color theme="1"/>
        <rFont val="細明體"/>
        <family val="3"/>
        <charset val="136"/>
      </rPr>
      <t>鐵吸收過量時會引起缺錳症之發生。</t>
    </r>
    <phoneticPr fontId="1" type="noConversion"/>
  </si>
  <si>
    <r>
      <rPr>
        <sz val="10"/>
        <color theme="1"/>
        <rFont val="細明體"/>
        <family val="3"/>
        <charset val="136"/>
      </rPr>
      <t>酸性土壤錳最易過度聚集。強酸性土壤通氣性差，排水不良，土壤有機質缺乏，常造成錳過量吸收產生毒害：葉形變小，葉緣黃化並出現褐斑壞疽，嚴重擴及葉脈及葉柄，造成異常落葉。</t>
    </r>
    <phoneticPr fontId="1" type="noConversion"/>
  </si>
  <si>
    <r>
      <rPr>
        <sz val="10"/>
        <color theme="1"/>
        <rFont val="細明體"/>
        <family val="3"/>
        <charset val="136"/>
      </rPr>
      <t>較老葉片上有失綠區域包圍的棕色斑點。</t>
    </r>
    <phoneticPr fontId="1" type="noConversion"/>
  </si>
  <si>
    <r>
      <rPr>
        <sz val="10"/>
        <color theme="1"/>
        <rFont val="細明體"/>
        <family val="3"/>
        <charset val="136"/>
      </rPr>
      <t>硼毒害時，葉尖黃化，漸次全葉葉緣黃化，分泌黏液，逐漸褐色而枯萎，嚴重則落葉至枝條枯死。</t>
    </r>
    <phoneticPr fontId="1" type="noConversion"/>
  </si>
  <si>
    <r>
      <rPr>
        <sz val="10"/>
        <color theme="1"/>
        <rFont val="細明體"/>
        <family val="3"/>
        <charset val="136"/>
      </rPr>
      <t>硼毒害一般是下部葉尖或葉緣褪綠，而後出現黃褐色斑塊，邊緣焦枯如鑲「金邊」。</t>
    </r>
    <phoneticPr fontId="1" type="noConversion"/>
  </si>
  <si>
    <r>
      <rPr>
        <sz val="10"/>
        <color theme="1"/>
        <rFont val="細明體"/>
        <family val="3"/>
        <charset val="136"/>
      </rPr>
      <t>硼可以促進分生組織生長，最易受影響的部位為頂端下細胞、分裂過程的細胞、代謝活性高的細胞。硼的缺乏先發生在生長點：叢生狀、枯死、變色、發育不全、可以看到許多側芽再生及死亡。最年輕的葉片成畸形或皺縮。</t>
    </r>
    <phoneticPr fontId="1" type="noConversion"/>
  </si>
  <si>
    <r>
      <rPr>
        <sz val="10"/>
        <color theme="1"/>
        <rFont val="細明體"/>
        <family val="3"/>
        <charset val="136"/>
      </rPr>
      <t>莖尖生長點受抑，甚至枯萎、死亡；老葉增厚變脆，新葉皺縮、捲曲失綠，葉柄短粗。</t>
    </r>
    <phoneticPr fontId="1" type="noConversion"/>
  </si>
  <si>
    <r>
      <rPr>
        <sz val="10"/>
        <color theme="1"/>
        <rFont val="細明體"/>
        <family val="3"/>
        <charset val="136"/>
      </rPr>
      <t>頂芽、側芽、根尖等分生組織易腐爛死亡；幼葉捲曲畸形，或從葉緣變黃死亡。</t>
    </r>
    <phoneticPr fontId="1" type="noConversion"/>
  </si>
  <si>
    <r>
      <rPr>
        <sz val="10"/>
        <color theme="1"/>
        <rFont val="細明體"/>
        <family val="3"/>
        <charset val="136"/>
      </rPr>
      <t>硫為蛋白質的組成，缺硫時抑制蛋白質的合成，故導致葉片黃化。</t>
    </r>
    <phoneticPr fontId="1" type="noConversion"/>
  </si>
  <si>
    <r>
      <rPr>
        <sz val="10"/>
        <color theme="1"/>
        <rFont val="細明體"/>
        <family val="3"/>
        <charset val="136"/>
      </rPr>
      <t>幼葉褪綠或黃化。</t>
    </r>
    <phoneticPr fontId="1" type="noConversion"/>
  </si>
  <si>
    <r>
      <rPr>
        <sz val="10"/>
        <color theme="1"/>
        <rFont val="細明體"/>
        <family val="3"/>
        <charset val="136"/>
      </rPr>
      <t>銅移動性低，缺乏症首先出現在葉尖，葉尖變白，葉子變細且扭曲，節間的生長受抑制，新葉的形成受阻。</t>
    </r>
    <phoneticPr fontId="1" type="noConversion"/>
  </si>
  <si>
    <r>
      <rPr>
        <sz val="10"/>
        <color theme="1"/>
        <rFont val="細明體"/>
        <family val="3"/>
        <charset val="136"/>
      </rPr>
      <t>頂端枯萎，節間縮短，葉尖發白，葉片變窄變薄。</t>
    </r>
    <phoneticPr fontId="1" type="noConversion"/>
  </si>
  <si>
    <r>
      <rPr>
        <sz val="10"/>
        <color theme="1"/>
        <rFont val="細明體"/>
        <family val="3"/>
        <charset val="136"/>
      </rPr>
      <t>頂端和幼葉缺綠黃白化，甚至白化，葉脈顏色深於葉肉，形成網紋花葉。</t>
    </r>
    <phoneticPr fontId="1" type="noConversion"/>
  </si>
  <si>
    <r>
      <rPr>
        <sz val="10"/>
        <color theme="1"/>
        <rFont val="細明體"/>
        <family val="3"/>
        <charset val="136"/>
      </rPr>
      <t>磷缺乏時生長速率下降，植株矮小；但由於不影響葉綠素之形成，故使葉片呈深綠色。如果花青素之合成增加，則會呈現紫色。在植物體內之移動性大，缺乏症先出現在老葉。若出現於嫩葉，代表缺乏嚴重。</t>
    </r>
    <phoneticPr fontId="1" type="noConversion"/>
  </si>
  <si>
    <r>
      <rPr>
        <sz val="10"/>
        <color rgb="FFFF0000"/>
        <rFont val="新細明體"/>
        <family val="1"/>
        <charset val="136"/>
      </rPr>
      <t>比例</t>
    </r>
    <phoneticPr fontId="1" type="noConversion"/>
  </si>
  <si>
    <r>
      <t>Yes</t>
    </r>
    <r>
      <rPr>
        <sz val="10"/>
        <color theme="1"/>
        <rFont val="新細明體"/>
        <family val="1"/>
        <charset val="136"/>
      </rPr>
      <t>診斷</t>
    </r>
    <phoneticPr fontId="1" type="noConversion"/>
  </si>
  <si>
    <r>
      <t>No</t>
    </r>
    <r>
      <rPr>
        <sz val="10"/>
        <color theme="1"/>
        <rFont val="新細明體"/>
        <family val="1"/>
        <charset val="136"/>
      </rPr>
      <t>診斷</t>
    </r>
    <phoneticPr fontId="1" type="noConversion"/>
  </si>
  <si>
    <r>
      <rPr>
        <sz val="10"/>
        <color rgb="FF0070C0"/>
        <rFont val="新細明體"/>
        <family val="1"/>
        <charset val="136"/>
      </rPr>
      <t>養分缺乏</t>
    </r>
    <r>
      <rPr>
        <sz val="10"/>
        <color rgb="FF0070C0"/>
        <rFont val="Times New Roman"/>
        <family val="1"/>
      </rPr>
      <t>/</t>
    </r>
    <r>
      <rPr>
        <sz val="10"/>
        <color rgb="FF0070C0"/>
        <rFont val="新細明體"/>
        <family val="1"/>
        <charset val="136"/>
      </rPr>
      <t>毒害判釋</t>
    </r>
    <phoneticPr fontId="1" type="noConversion"/>
  </si>
  <si>
    <r>
      <rPr>
        <sz val="10"/>
        <color theme="1"/>
        <rFont val="新細明體"/>
        <family val="1"/>
        <charset val="136"/>
      </rPr>
      <t>利用葉片徵狀進行養分缺乏</t>
    </r>
    <r>
      <rPr>
        <sz val="10"/>
        <color theme="1"/>
        <rFont val="Times New Roman"/>
        <family val="1"/>
      </rPr>
      <t>/</t>
    </r>
    <r>
      <rPr>
        <sz val="10"/>
        <color theme="1"/>
        <rFont val="新細明體"/>
        <family val="1"/>
        <charset val="136"/>
      </rPr>
      <t>毒害判釋？</t>
    </r>
    <phoneticPr fontId="1" type="noConversion"/>
  </si>
  <si>
    <r>
      <rPr>
        <sz val="10"/>
        <color theme="1"/>
        <rFont val="新細明體"/>
        <family val="1"/>
        <charset val="136"/>
      </rPr>
      <t>磷缺乏。</t>
    </r>
    <phoneticPr fontId="1" type="noConversion"/>
  </si>
  <si>
    <r>
      <rPr>
        <sz val="10"/>
        <color theme="1"/>
        <rFont val="新細明體"/>
        <family val="1"/>
        <charset val="136"/>
      </rPr>
      <t>幼年期</t>
    </r>
    <r>
      <rPr>
        <sz val="10"/>
        <color theme="1"/>
        <rFont val="Times New Roman"/>
        <family val="1"/>
      </rPr>
      <t>(1-3</t>
    </r>
    <r>
      <rPr>
        <sz val="10"/>
        <color theme="1"/>
        <rFont val="新細明體"/>
        <family val="1"/>
        <charset val="136"/>
      </rPr>
      <t>年生</t>
    </r>
    <r>
      <rPr>
        <sz val="10"/>
        <color theme="1"/>
        <rFont val="Times New Roman"/>
        <family val="1"/>
      </rPr>
      <t>)</t>
    </r>
    <r>
      <rPr>
        <sz val="10"/>
        <color theme="1"/>
        <rFont val="新細明體"/>
        <family val="1"/>
        <charset val="136"/>
      </rPr>
      <t>：適當提高磷鉀比例可促進根系生長，利於後續高產、穩產和品質，三要素比</t>
    </r>
    <r>
      <rPr>
        <sz val="10"/>
        <color theme="1"/>
        <rFont val="Times New Roman"/>
        <family val="1"/>
      </rPr>
      <t xml:space="preserve">1:1:1
</t>
    </r>
    <r>
      <rPr>
        <sz val="10"/>
        <color theme="1"/>
        <rFont val="新細明體"/>
        <family val="1"/>
        <charset val="136"/>
      </rPr>
      <t>青年期</t>
    </r>
    <r>
      <rPr>
        <sz val="10"/>
        <color theme="1"/>
        <rFont val="Times New Roman"/>
        <family val="1"/>
      </rPr>
      <t>(4-6</t>
    </r>
    <r>
      <rPr>
        <sz val="10"/>
        <color theme="1"/>
        <rFont val="新細明體"/>
        <family val="1"/>
        <charset val="136"/>
      </rPr>
      <t>年生</t>
    </r>
    <r>
      <rPr>
        <sz val="10"/>
        <color theme="1"/>
        <rFont val="Times New Roman"/>
        <family val="1"/>
      </rPr>
      <t>)</t>
    </r>
    <r>
      <rPr>
        <sz val="10"/>
        <color theme="1"/>
        <rFont val="新細明體"/>
        <family val="1"/>
        <charset val="136"/>
      </rPr>
      <t>：生長旺盛，吸收力強，對氮的需求增高，三要素比</t>
    </r>
    <r>
      <rPr>
        <sz val="10"/>
        <color theme="1"/>
        <rFont val="Times New Roman"/>
        <family val="1"/>
      </rPr>
      <t xml:space="preserve">2:1:1
</t>
    </r>
    <r>
      <rPr>
        <sz val="10"/>
        <color theme="1"/>
        <rFont val="新細明體"/>
        <family val="1"/>
        <charset val="136"/>
      </rPr>
      <t>成年期：為避免茶樹開花結果，三要素比</t>
    </r>
    <r>
      <rPr>
        <sz val="10"/>
        <color theme="1"/>
        <rFont val="Times New Roman"/>
        <family val="1"/>
      </rPr>
      <t>5:1:2</t>
    </r>
    <phoneticPr fontId="1" type="noConversion"/>
  </si>
  <si>
    <r>
      <rPr>
        <sz val="10"/>
        <color theme="1"/>
        <rFont val="新細明體"/>
        <family val="1"/>
        <charset val="136"/>
      </rPr>
      <t>氮缺乏。</t>
    </r>
    <phoneticPr fontId="1" type="noConversion"/>
  </si>
  <si>
    <r>
      <rPr>
        <sz val="10"/>
        <color theme="1"/>
        <rFont val="新細明體"/>
        <family val="1"/>
        <charset val="136"/>
      </rPr>
      <t>鉬缺乏。</t>
    </r>
    <phoneticPr fontId="1" type="noConversion"/>
  </si>
  <si>
    <r>
      <rPr>
        <sz val="10"/>
        <color theme="1"/>
        <rFont val="新細明體"/>
        <family val="1"/>
        <charset val="136"/>
      </rPr>
      <t>氮過量。</t>
    </r>
    <phoneticPr fontId="1" type="noConversion"/>
  </si>
  <si>
    <r>
      <rPr>
        <sz val="10"/>
        <color theme="1"/>
        <rFont val="新細明體"/>
        <family val="1"/>
        <charset val="136"/>
      </rPr>
      <t>鎂缺乏。</t>
    </r>
    <phoneticPr fontId="1" type="noConversion"/>
  </si>
  <si>
    <r>
      <rPr>
        <sz val="10"/>
        <color theme="1"/>
        <rFont val="新細明體"/>
        <family val="1"/>
        <charset val="136"/>
      </rPr>
      <t>鉀缺乏。</t>
    </r>
    <phoneticPr fontId="1" type="noConversion"/>
  </si>
  <si>
    <r>
      <rPr>
        <sz val="10"/>
        <color theme="1"/>
        <rFont val="新細明體"/>
        <family val="1"/>
        <charset val="136"/>
      </rPr>
      <t>氯缺乏。</t>
    </r>
    <phoneticPr fontId="1" type="noConversion"/>
  </si>
  <si>
    <r>
      <rPr>
        <sz val="10"/>
        <color theme="1"/>
        <rFont val="新細明體"/>
        <family val="1"/>
        <charset val="136"/>
      </rPr>
      <t>幼齡茶樹對氯敏感，不宜施用含氯肥料</t>
    </r>
    <r>
      <rPr>
        <sz val="10"/>
        <color theme="1"/>
        <rFont val="Times New Roman"/>
        <family val="1"/>
      </rPr>
      <t>(KCl</t>
    </r>
    <r>
      <rPr>
        <sz val="10"/>
        <color theme="1"/>
        <rFont val="新細明體"/>
        <family val="1"/>
        <charset val="136"/>
      </rPr>
      <t>和</t>
    </r>
    <r>
      <rPr>
        <sz val="10"/>
        <color theme="1"/>
        <rFont val="Times New Roman"/>
        <family val="1"/>
      </rPr>
      <t>NH</t>
    </r>
    <r>
      <rPr>
        <vertAlign val="subscript"/>
        <sz val="10"/>
        <color theme="1"/>
        <rFont val="Times New Roman"/>
        <family val="1"/>
      </rPr>
      <t>4</t>
    </r>
    <r>
      <rPr>
        <sz val="10"/>
        <color theme="1"/>
        <rFont val="Times New Roman"/>
        <family val="1"/>
      </rPr>
      <t>Cl)</t>
    </r>
    <r>
      <rPr>
        <sz val="10"/>
        <color theme="1"/>
        <rFont val="新細明體"/>
        <family val="1"/>
        <charset val="136"/>
      </rPr>
      <t>。</t>
    </r>
    <phoneticPr fontId="1" type="noConversion"/>
  </si>
  <si>
    <r>
      <rPr>
        <sz val="10"/>
        <color theme="1"/>
        <rFont val="新細明體"/>
        <family val="1"/>
        <charset val="136"/>
      </rPr>
      <t>小棕色斑點出現於老葉片尖端，嚴重時整株葉片呈暗棕色？</t>
    </r>
    <phoneticPr fontId="1" type="noConversion"/>
  </si>
  <si>
    <r>
      <rPr>
        <sz val="10"/>
        <color theme="1"/>
        <rFont val="新細明體"/>
        <family val="1"/>
        <charset val="136"/>
      </rPr>
      <t>鐵毒害。</t>
    </r>
    <phoneticPr fontId="1" type="noConversion"/>
  </si>
  <si>
    <r>
      <rPr>
        <sz val="10"/>
        <color theme="1"/>
        <rFont val="新細明體"/>
        <family val="1"/>
        <charset val="136"/>
      </rPr>
      <t>硼毒害。</t>
    </r>
    <phoneticPr fontId="1" type="noConversion"/>
  </si>
  <si>
    <r>
      <t xml:space="preserve">Main Branch 1, Secondary Branch 2: </t>
    </r>
    <r>
      <rPr>
        <sz val="10"/>
        <color theme="1"/>
        <rFont val="新細明體"/>
        <family val="1"/>
        <charset val="136"/>
      </rPr>
      <t>新芽徵狀判釋</t>
    </r>
    <phoneticPr fontId="1" type="noConversion"/>
  </si>
  <si>
    <r>
      <rPr>
        <sz val="10"/>
        <color rgb="FFFF0000"/>
        <rFont val="新細明體"/>
        <family val="1"/>
        <charset val="136"/>
      </rPr>
      <t>新芽徵狀判釋</t>
    </r>
    <phoneticPr fontId="1" type="noConversion"/>
  </si>
  <si>
    <r>
      <rPr>
        <sz val="10"/>
        <color theme="1"/>
        <rFont val="新細明體"/>
        <family val="1"/>
        <charset val="136"/>
      </rPr>
      <t>硼缺乏。</t>
    </r>
    <phoneticPr fontId="1" type="noConversion"/>
  </si>
  <si>
    <r>
      <rPr>
        <sz val="10"/>
        <color theme="1"/>
        <rFont val="新細明體"/>
        <family val="1"/>
        <charset val="136"/>
      </rPr>
      <t>鈣缺乏。</t>
    </r>
    <phoneticPr fontId="1" type="noConversion"/>
  </si>
  <si>
    <r>
      <t xml:space="preserve">Main Branch 1, Secondary Branch 3: </t>
    </r>
    <r>
      <rPr>
        <sz val="10"/>
        <color theme="1"/>
        <rFont val="新細明體"/>
        <family val="1"/>
        <charset val="136"/>
      </rPr>
      <t>新葉徵狀判釋</t>
    </r>
    <phoneticPr fontId="1" type="noConversion"/>
  </si>
  <si>
    <r>
      <rPr>
        <sz val="10"/>
        <color rgb="FFFF0000"/>
        <rFont val="新細明體"/>
        <family val="1"/>
        <charset val="136"/>
      </rPr>
      <t>新葉徵狀判釋</t>
    </r>
    <phoneticPr fontId="1" type="noConversion"/>
  </si>
  <si>
    <r>
      <rPr>
        <sz val="10"/>
        <color theme="1"/>
        <rFont val="新細明體"/>
        <family val="1"/>
        <charset val="136"/>
      </rPr>
      <t>硫缺乏。</t>
    </r>
    <phoneticPr fontId="1" type="noConversion"/>
  </si>
  <si>
    <r>
      <rPr>
        <sz val="10"/>
        <color theme="1"/>
        <rFont val="新細明體"/>
        <family val="1"/>
        <charset val="136"/>
      </rPr>
      <t>銅缺乏。</t>
    </r>
    <phoneticPr fontId="1" type="noConversion"/>
  </si>
  <si>
    <r>
      <rPr>
        <sz val="10"/>
        <color theme="1"/>
        <rFont val="新細明體"/>
        <family val="1"/>
        <charset val="136"/>
      </rPr>
      <t>鐵缺乏。</t>
    </r>
    <phoneticPr fontId="1" type="noConversion"/>
  </si>
  <si>
    <r>
      <rPr>
        <sz val="10"/>
        <color theme="1"/>
        <rFont val="新細明體"/>
        <family val="1"/>
        <charset val="136"/>
      </rPr>
      <t>鐵是植物葉綠素合成的必需元素，因此鐵缺乏葉綠素無法合成。在植物體內之移動性小，缺乏症先出現在新葉，幼葉葉肉先黃化，葉脈明顯網紋線脈，葉片全面黃化，嚴重時全葉白化，並有褐斑點，莖短而細弱。
胞器中對錳缺乏最敏感者為葉綠體，故發生脈間黃化，雙子葉植物</t>
    </r>
    <r>
      <rPr>
        <sz val="10"/>
        <color theme="1"/>
        <rFont val="Times New Roman"/>
        <family val="1"/>
      </rPr>
      <t>(</t>
    </r>
    <r>
      <rPr>
        <sz val="10"/>
        <color theme="1"/>
        <rFont val="新細明體"/>
        <family val="1"/>
        <charset val="136"/>
      </rPr>
      <t>如</t>
    </r>
    <r>
      <rPr>
        <sz val="10"/>
        <color theme="1"/>
        <rFont val="Times New Roman"/>
        <family val="1"/>
      </rPr>
      <t xml:space="preserve"> </t>
    </r>
    <r>
      <rPr>
        <sz val="10"/>
        <color theme="1"/>
        <rFont val="新細明體"/>
        <family val="1"/>
        <charset val="136"/>
      </rPr>
      <t>茶</t>
    </r>
    <r>
      <rPr>
        <sz val="10"/>
        <color theme="1"/>
        <rFont val="Times New Roman"/>
        <family val="1"/>
      </rPr>
      <t>)</t>
    </r>
    <r>
      <rPr>
        <sz val="10"/>
        <color theme="1"/>
        <rFont val="新細明體"/>
        <family val="1"/>
        <charset val="136"/>
      </rPr>
      <t>缺錳的特性為葉上有小黃點，單子葉植物缺乏症出現在葉片的基部，為綠灰色的點及帶。</t>
    </r>
    <phoneticPr fontId="1" type="noConversion"/>
  </si>
  <si>
    <r>
      <rPr>
        <sz val="10"/>
        <color theme="1"/>
        <rFont val="新細明體"/>
        <family val="1"/>
        <charset val="136"/>
      </rPr>
      <t>嫩葉及葉柄呈現暗紅色或紫紅色？</t>
    </r>
    <phoneticPr fontId="1" type="noConversion"/>
  </si>
  <si>
    <r>
      <rPr>
        <sz val="10"/>
        <color rgb="FFFF0000"/>
        <rFont val="新細明體"/>
        <family val="1"/>
        <charset val="136"/>
      </rPr>
      <t>有養分缺乏</t>
    </r>
    <r>
      <rPr>
        <sz val="10"/>
        <color rgb="FFFF0000"/>
        <rFont val="Times New Roman"/>
        <family val="1"/>
      </rPr>
      <t>/</t>
    </r>
    <r>
      <rPr>
        <sz val="10"/>
        <color rgb="FFFF0000"/>
        <rFont val="新細明體"/>
        <family val="1"/>
        <charset val="136"/>
      </rPr>
      <t>毒害徵狀</t>
    </r>
    <phoneticPr fontId="1" type="noConversion"/>
  </si>
  <si>
    <r>
      <rPr>
        <sz val="10"/>
        <color theme="1"/>
        <rFont val="細明體"/>
        <family val="3"/>
        <charset val="136"/>
      </rPr>
      <t>圖片說明</t>
    </r>
    <phoneticPr fontId="1" type="noConversion"/>
  </si>
  <si>
    <r>
      <rPr>
        <sz val="10"/>
        <color rgb="FFFF0000"/>
        <rFont val="新細明體"/>
        <family val="1"/>
        <charset val="136"/>
      </rPr>
      <t>嫩葉蟲害徵狀</t>
    </r>
    <phoneticPr fontId="1" type="noConversion"/>
  </si>
  <si>
    <r>
      <rPr>
        <sz val="10"/>
        <color theme="1"/>
        <rFont val="新細明體"/>
        <family val="1"/>
        <charset val="136"/>
      </rPr>
      <t>嫩葉有受害徵狀？</t>
    </r>
    <phoneticPr fontId="1" type="noConversion"/>
  </si>
  <si>
    <r>
      <rPr>
        <sz val="10"/>
        <color theme="1"/>
        <rFont val="新細明體"/>
        <family val="1"/>
        <charset val="136"/>
      </rPr>
      <t>葉背有明顯褐色條斑，葉變形生長不良，嚴重時受害芽停止生長，呈乾枯狀？</t>
    </r>
    <phoneticPr fontId="1" type="noConversion"/>
  </si>
  <si>
    <r>
      <rPr>
        <sz val="10"/>
        <color theme="1"/>
        <rFont val="細明體"/>
        <family val="3"/>
        <charset val="136"/>
      </rPr>
      <t>幼蟲及成蟲在嫩葉背面銼吸汁液，在受害部位造成銼狀傷口，形成褐斑，嫩葉變形且生長不良。以</t>
    </r>
    <r>
      <rPr>
        <sz val="10"/>
        <color theme="1"/>
        <rFont val="Times New Roman"/>
        <family val="1"/>
      </rPr>
      <t>4</t>
    </r>
    <r>
      <rPr>
        <sz val="10"/>
        <color theme="1"/>
        <rFont val="細明體"/>
        <family val="3"/>
        <charset val="136"/>
      </rPr>
      <t>至</t>
    </r>
    <r>
      <rPr>
        <sz val="10"/>
        <color theme="1"/>
        <rFont val="Times New Roman"/>
        <family val="1"/>
      </rPr>
      <t>5</t>
    </r>
    <r>
      <rPr>
        <sz val="10"/>
        <color theme="1"/>
        <rFont val="細明體"/>
        <family val="3"/>
        <charset val="136"/>
      </rPr>
      <t>月時棲群密度最高，其次
為</t>
    </r>
    <r>
      <rPr>
        <sz val="10"/>
        <color theme="1"/>
        <rFont val="Times New Roman"/>
        <family val="1"/>
      </rPr>
      <t>8</t>
    </r>
    <r>
      <rPr>
        <sz val="10"/>
        <color theme="1"/>
        <rFont val="細明體"/>
        <family val="3"/>
        <charset val="136"/>
      </rPr>
      <t>至</t>
    </r>
    <r>
      <rPr>
        <sz val="10"/>
        <color theme="1"/>
        <rFont val="Times New Roman"/>
        <family val="1"/>
      </rPr>
      <t>9</t>
    </r>
    <r>
      <rPr>
        <sz val="10"/>
        <color theme="1"/>
        <rFont val="細明體"/>
        <family val="3"/>
        <charset val="136"/>
      </rPr>
      <t>月。</t>
    </r>
    <phoneticPr fontId="1" type="noConversion"/>
  </si>
  <si>
    <r>
      <rPr>
        <sz val="10"/>
        <color theme="1"/>
        <rFont val="新細明體"/>
        <family val="1"/>
        <charset val="136"/>
      </rPr>
      <t>嫩葉背面呈紅褐色細斑點？</t>
    </r>
    <phoneticPr fontId="1" type="noConversion"/>
  </si>
  <si>
    <r>
      <rPr>
        <sz val="10"/>
        <color theme="1"/>
        <rFont val="新細明體"/>
        <family val="1"/>
        <charset val="136"/>
      </rPr>
      <t>神澤氏葉蟎。</t>
    </r>
    <phoneticPr fontId="1" type="noConversion"/>
  </si>
  <si>
    <r>
      <rPr>
        <sz val="10"/>
        <color theme="1"/>
        <rFont val="新細明體"/>
        <family val="1"/>
        <charset val="136"/>
      </rPr>
      <t>嫩葉背硬化變厚，呈褐色狀</t>
    </r>
    <r>
      <rPr>
        <sz val="10"/>
        <color theme="1"/>
        <rFont val="Times New Roman"/>
        <family val="1"/>
      </rPr>
      <t xml:space="preserve"> </t>
    </r>
    <r>
      <rPr>
        <sz val="10"/>
        <color theme="1"/>
        <rFont val="新細明體"/>
        <family val="1"/>
        <charset val="136"/>
      </rPr>
      <t>？</t>
    </r>
    <phoneticPr fontId="1" type="noConversion"/>
  </si>
  <si>
    <r>
      <rPr>
        <sz val="10"/>
        <color theme="1"/>
        <rFont val="新細明體"/>
        <family val="1"/>
        <charset val="136"/>
      </rPr>
      <t>茶細蟎。</t>
    </r>
    <phoneticPr fontId="1" type="noConversion"/>
  </si>
  <si>
    <r>
      <rPr>
        <sz val="10"/>
        <color theme="1"/>
        <rFont val="新細明體"/>
        <family val="1"/>
        <charset val="136"/>
      </rPr>
      <t>嫩葉背面呈暗褐色細點，片向內捲曲？</t>
    </r>
    <phoneticPr fontId="1" type="noConversion"/>
  </si>
  <si>
    <r>
      <rPr>
        <sz val="10"/>
        <color theme="1"/>
        <rFont val="新細明體"/>
        <family val="1"/>
        <charset val="136"/>
      </rPr>
      <t>桔黃銹蜱。</t>
    </r>
    <phoneticPr fontId="1" type="noConversion"/>
  </si>
  <si>
    <r>
      <rPr>
        <sz val="10"/>
        <color theme="1"/>
        <rFont val="新細明體"/>
        <family val="1"/>
        <charset val="136"/>
      </rPr>
      <t>沿葉脈周邊形成褐色斑點，嚴重時停止生長，呈乾枯狀？</t>
    </r>
    <phoneticPr fontId="1" type="noConversion"/>
  </si>
  <si>
    <r>
      <rPr>
        <sz val="10"/>
        <color theme="1"/>
        <rFont val="新細明體"/>
        <family val="1"/>
        <charset val="136"/>
      </rPr>
      <t>茶角盲椿象。</t>
    </r>
    <phoneticPr fontId="1" type="noConversion"/>
  </si>
  <si>
    <r>
      <rPr>
        <sz val="10"/>
        <color theme="1"/>
        <rFont val="細明體"/>
        <family val="3"/>
        <charset val="136"/>
      </rPr>
      <t>成蟲：體呈黑色，頭小而短，複眼向兩側突出。觸角細長，約為體長的二倍。小楯板有一向後方彎曲的長形桿狀突起，其先端膨大呈球形。足黃褐色。雄蟲前胸背板呈黑色，雌蟲則為黃色。卵：白色，近圓筒狀，下端圓形，上端扁平，兩側各有一根長短不同的白色毛。</t>
    </r>
    <phoneticPr fontId="1" type="noConversion"/>
  </si>
  <si>
    <r>
      <rPr>
        <sz val="10"/>
        <color theme="1"/>
        <rFont val="新細明體"/>
        <family val="1"/>
        <charset val="136"/>
      </rPr>
      <t>芽葉呈黃綠色，內凹呈船型？</t>
    </r>
    <phoneticPr fontId="1" type="noConversion"/>
  </si>
  <si>
    <r>
      <rPr>
        <sz val="10"/>
        <color theme="1"/>
        <rFont val="新細明體"/>
        <family val="1"/>
        <charset val="136"/>
      </rPr>
      <t>茶小綠葉蟬。</t>
    </r>
    <phoneticPr fontId="1" type="noConversion"/>
  </si>
  <si>
    <r>
      <rPr>
        <sz val="10"/>
        <color theme="1"/>
        <rFont val="細明體"/>
        <family val="3"/>
        <charset val="136"/>
      </rPr>
      <t>成蟲：雌蟲體長</t>
    </r>
    <r>
      <rPr>
        <sz val="10"/>
        <color theme="1"/>
        <rFont val="Times New Roman"/>
        <family val="1"/>
      </rPr>
      <t xml:space="preserve"> 2.7 </t>
    </r>
    <r>
      <rPr>
        <sz val="10"/>
        <color theme="1"/>
        <rFont val="細明體"/>
        <family val="3"/>
        <charset val="136"/>
      </rPr>
      <t>公釐，翅展</t>
    </r>
    <r>
      <rPr>
        <sz val="10"/>
        <color theme="1"/>
        <rFont val="Times New Roman"/>
        <family val="1"/>
      </rPr>
      <t xml:space="preserve"> 2.39 </t>
    </r>
    <r>
      <rPr>
        <sz val="10"/>
        <color theme="1"/>
        <rFont val="細明體"/>
        <family val="3"/>
        <charset val="136"/>
      </rPr>
      <t>公釐；雄蟲體長</t>
    </r>
    <r>
      <rPr>
        <sz val="10"/>
        <color theme="1"/>
        <rFont val="Times New Roman"/>
        <family val="1"/>
      </rPr>
      <t xml:space="preserve"> 2.4 </t>
    </r>
    <r>
      <rPr>
        <sz val="10"/>
        <color theme="1"/>
        <rFont val="細明體"/>
        <family val="3"/>
        <charset val="136"/>
      </rPr>
      <t>公釐，翅展</t>
    </r>
    <r>
      <rPr>
        <sz val="10"/>
        <color theme="1"/>
        <rFont val="Times New Roman"/>
        <family val="1"/>
      </rPr>
      <t xml:space="preserve"> 2.19 </t>
    </r>
    <r>
      <rPr>
        <sz val="10"/>
        <color theme="1"/>
        <rFont val="細明體"/>
        <family val="3"/>
        <charset val="136"/>
      </rPr>
      <t>公釐。體呈黃綠色，觸角灰褐色，複眼灰白色。胸部除前胸為深綠色外，餘均為黃褐色。前翅黃綠色，中央有灰白色呈橢圓形的斑紋。</t>
    </r>
    <phoneticPr fontId="1" type="noConversion"/>
  </si>
  <si>
    <r>
      <rPr>
        <sz val="10"/>
        <color theme="1"/>
        <rFont val="新細明體"/>
        <family val="1"/>
        <charset val="136"/>
      </rPr>
      <t>芽葉具透明狀</t>
    </r>
    <r>
      <rPr>
        <sz val="10"/>
        <color theme="1"/>
        <rFont val="Times New Roman"/>
        <family val="1"/>
      </rPr>
      <t xml:space="preserve"> </t>
    </r>
    <r>
      <rPr>
        <sz val="10"/>
        <color theme="1"/>
        <rFont val="新細明體"/>
        <family val="1"/>
        <charset val="136"/>
      </rPr>
      <t>蜜露或黑煙狀？</t>
    </r>
    <phoneticPr fontId="1" type="noConversion"/>
  </si>
  <si>
    <r>
      <rPr>
        <sz val="10"/>
        <color theme="1"/>
        <rFont val="新細明體"/>
        <family val="1"/>
        <charset val="136"/>
      </rPr>
      <t>蚜蟲。</t>
    </r>
    <phoneticPr fontId="1" type="noConversion"/>
  </si>
  <si>
    <r>
      <rPr>
        <sz val="10"/>
        <color theme="1"/>
        <rFont val="新細明體"/>
        <family val="1"/>
        <charset val="136"/>
      </rPr>
      <t>吐絲將幼葉捲呈立體三角狀？</t>
    </r>
    <phoneticPr fontId="1" type="noConversion"/>
  </si>
  <si>
    <r>
      <rPr>
        <sz val="10"/>
        <color theme="1"/>
        <rFont val="新細明體"/>
        <family val="1"/>
        <charset val="136"/>
      </rPr>
      <t>茶細蛾。</t>
    </r>
    <phoneticPr fontId="1" type="noConversion"/>
  </si>
  <si>
    <r>
      <rPr>
        <sz val="10"/>
        <color theme="1"/>
        <rFont val="新細明體"/>
        <family val="1"/>
        <charset val="136"/>
      </rPr>
      <t>吐絲將幼葉捲成不同形式？</t>
    </r>
    <phoneticPr fontId="1" type="noConversion"/>
  </si>
  <si>
    <r>
      <rPr>
        <sz val="10"/>
        <color theme="1"/>
        <rFont val="新細明體"/>
        <family val="1"/>
        <charset val="136"/>
      </rPr>
      <t>茶姬捲葉蛾。</t>
    </r>
    <phoneticPr fontId="1" type="noConversion"/>
  </si>
  <si>
    <r>
      <rPr>
        <sz val="10"/>
        <color theme="1"/>
        <rFont val="細明體"/>
        <family val="3"/>
        <charset val="136"/>
      </rPr>
      <t>常棲於芽內或未展開的嫩葉邊緣內取食，不易發覺。二齡後吐絲由嫩葉葉尖向中心捲起，棲於內面取食，以後為害症狀明顯。</t>
    </r>
    <phoneticPr fontId="1" type="noConversion"/>
  </si>
  <si>
    <r>
      <rPr>
        <sz val="10"/>
        <color theme="1"/>
        <rFont val="新細明體"/>
        <family val="1"/>
        <charset val="136"/>
      </rPr>
      <t>心梢或葉部被啃食，嚴重時葉片被啃食僅剩葉柄及葉脈？</t>
    </r>
    <phoneticPr fontId="1" type="noConversion"/>
  </si>
  <si>
    <r>
      <rPr>
        <sz val="10"/>
        <color theme="1"/>
        <rFont val="新細明體"/>
        <family val="1"/>
        <charset val="136"/>
      </rPr>
      <t>斜紋夜蛾。</t>
    </r>
    <phoneticPr fontId="1" type="noConversion"/>
  </si>
  <si>
    <r>
      <rPr>
        <sz val="10"/>
        <color theme="1"/>
        <rFont val="細明體"/>
        <family val="3"/>
        <charset val="136"/>
      </rPr>
      <t>成蟲之蟲體及前翅呈灰褐色，雄蛾色較雌蛾鮮明；後翅白色，但其外緣暗褐。體長約</t>
    </r>
    <r>
      <rPr>
        <sz val="10"/>
        <color theme="1"/>
        <rFont val="Times New Roman"/>
        <family val="1"/>
      </rPr>
      <t xml:space="preserve">15~17 </t>
    </r>
    <r>
      <rPr>
        <sz val="10"/>
        <color theme="1"/>
        <rFont val="細明體"/>
        <family val="3"/>
        <charset val="136"/>
      </rPr>
      <t>厘米，展翅</t>
    </r>
    <r>
      <rPr>
        <sz val="10"/>
        <color theme="1"/>
        <rFont val="Times New Roman"/>
        <family val="1"/>
      </rPr>
      <t xml:space="preserve">40 </t>
    </r>
    <r>
      <rPr>
        <sz val="10"/>
        <color theme="1"/>
        <rFont val="細明體"/>
        <family val="3"/>
        <charset val="136"/>
      </rPr>
      <t>厘米左右，雄蛾較雌蛾略大。卵淡綠色，呈饅頭狀，有放射狀之縱隆起線，直徑約</t>
    </r>
    <r>
      <rPr>
        <sz val="10"/>
        <color theme="1"/>
        <rFont val="Times New Roman"/>
        <family val="1"/>
      </rPr>
      <t xml:space="preserve">0.5 </t>
    </r>
    <r>
      <rPr>
        <sz val="10"/>
        <color theme="1"/>
        <rFont val="細明體"/>
        <family val="3"/>
        <charset val="136"/>
      </rPr>
      <t>厘米。剛孵化之幼蟲初期頭部呈黑色，胴部灰褐，背線、亞背線、氣門下線皆為白色，第</t>
    </r>
    <r>
      <rPr>
        <sz val="10"/>
        <color theme="1"/>
        <rFont val="Times New Roman"/>
        <family val="1"/>
      </rPr>
      <t xml:space="preserve">3 </t>
    </r>
    <r>
      <rPr>
        <sz val="10"/>
        <color theme="1"/>
        <rFont val="細明體"/>
        <family val="3"/>
        <charset val="136"/>
      </rPr>
      <t>齡以後，胴部各小紋常消失，背線止於前方之二、三節，其下方全體呈灰黃或灰黃白色，老熟之幼蟲體長約</t>
    </r>
    <r>
      <rPr>
        <sz val="10"/>
        <color theme="1"/>
        <rFont val="Times New Roman"/>
        <family val="1"/>
      </rPr>
      <t xml:space="preserve">41 </t>
    </r>
    <r>
      <rPr>
        <sz val="10"/>
        <color theme="1"/>
        <rFont val="細明體"/>
        <family val="3"/>
        <charset val="136"/>
      </rPr>
      <t>厘米。蛹期初期呈黃綠或淡綠色，而後逐漸加深呈赤褐色具光澤，腹端有尾刺二個，向下彎曲，體長約</t>
    </r>
    <r>
      <rPr>
        <sz val="10"/>
        <color theme="1"/>
        <rFont val="Times New Roman"/>
        <family val="1"/>
      </rPr>
      <t xml:space="preserve">20 </t>
    </r>
    <r>
      <rPr>
        <sz val="10"/>
        <color theme="1"/>
        <rFont val="細明體"/>
        <family val="3"/>
        <charset val="136"/>
      </rPr>
      <t>厘米。</t>
    </r>
    <phoneticPr fontId="1" type="noConversion"/>
  </si>
  <si>
    <r>
      <rPr>
        <sz val="10"/>
        <color rgb="FFFF0000"/>
        <rFont val="新細明體"/>
        <family val="1"/>
        <charset val="136"/>
      </rPr>
      <t>成葉蟲害徵狀</t>
    </r>
    <phoneticPr fontId="1" type="noConversion"/>
  </si>
  <si>
    <r>
      <rPr>
        <sz val="10"/>
        <color theme="1"/>
        <rFont val="新細明體"/>
        <family val="1"/>
        <charset val="136"/>
      </rPr>
      <t>成葉有受害徵狀？</t>
    </r>
    <phoneticPr fontId="1" type="noConversion"/>
  </si>
  <si>
    <r>
      <rPr>
        <sz val="10"/>
        <color theme="1"/>
        <rFont val="新細明體"/>
        <family val="1"/>
        <charset val="136"/>
      </rPr>
      <t>成葉正面呈銹褐色細斑點，嚴重時會落葉，天乾時大量發生？</t>
    </r>
    <phoneticPr fontId="1" type="noConversion"/>
  </si>
  <si>
    <r>
      <rPr>
        <sz val="10"/>
        <color theme="1"/>
        <rFont val="新細明體"/>
        <family val="1"/>
        <charset val="136"/>
      </rPr>
      <t>危害葉柄及脈附近呈黑褐色細斑點，由主脈向葉尖蔓延，受害枝條變黑，天乾時大量發生？</t>
    </r>
    <phoneticPr fontId="1" type="noConversion"/>
  </si>
  <si>
    <t>#1205</t>
    <phoneticPr fontId="1" type="noConversion"/>
  </si>
  <si>
    <r>
      <rPr>
        <sz val="10"/>
        <color theme="1"/>
        <rFont val="新細明體"/>
        <family val="1"/>
        <charset val="136"/>
      </rPr>
      <t>葉面呈銹褐色或具有白的蛻皮，嚴重時乾枯落葉？</t>
    </r>
    <phoneticPr fontId="1" type="noConversion"/>
  </si>
  <si>
    <r>
      <rPr>
        <sz val="10"/>
        <color theme="1"/>
        <rFont val="新細明體"/>
        <family val="1"/>
        <charset val="136"/>
      </rPr>
      <t>茶紫銹蜱。</t>
    </r>
    <phoneticPr fontId="1" type="noConversion"/>
  </si>
  <si>
    <r>
      <rPr>
        <sz val="10"/>
        <color theme="1"/>
        <rFont val="新細明體"/>
        <family val="1"/>
        <charset val="136"/>
      </rPr>
      <t>葉背具黑色撱圓形及突刺之蟲體或表面覆蓋一層煤煙狀？</t>
    </r>
    <phoneticPr fontId="1" type="noConversion"/>
  </si>
  <si>
    <r>
      <rPr>
        <sz val="10"/>
        <color theme="1"/>
        <rFont val="新細明體"/>
        <family val="1"/>
        <charset val="136"/>
      </rPr>
      <t>刺粉蝨。</t>
    </r>
    <phoneticPr fontId="1" type="noConversion"/>
  </si>
  <si>
    <t>#1207</t>
    <phoneticPr fontId="1" type="noConversion"/>
  </si>
  <si>
    <r>
      <rPr>
        <sz val="10"/>
        <color theme="1"/>
        <rFont val="新細明體"/>
        <family val="1"/>
        <charset val="136"/>
      </rPr>
      <t>葉脈兩側具淡褐色固定之介殼，嚴重時受害枝條落葉枝枯</t>
    </r>
    <phoneticPr fontId="1" type="noConversion"/>
  </si>
  <si>
    <r>
      <rPr>
        <sz val="10"/>
        <color theme="1"/>
        <rFont val="新細明體"/>
        <family val="1"/>
        <charset val="136"/>
      </rPr>
      <t>山茶圓介殼蟲</t>
    </r>
    <phoneticPr fontId="1" type="noConversion"/>
  </si>
  <si>
    <r>
      <rPr>
        <sz val="10"/>
        <color theme="1"/>
        <rFont val="新細明體"/>
        <family val="1"/>
        <charset val="136"/>
      </rPr>
      <t>吐絲將葉片捲成不同形式</t>
    </r>
    <phoneticPr fontId="1" type="noConversion"/>
  </si>
  <si>
    <r>
      <rPr>
        <sz val="10"/>
        <color theme="1"/>
        <rFont val="新細明體"/>
        <family val="1"/>
        <charset val="136"/>
      </rPr>
      <t>茶捲葉蛾</t>
    </r>
    <phoneticPr fontId="1" type="noConversion"/>
  </si>
  <si>
    <r>
      <rPr>
        <sz val="10"/>
        <color rgb="FFFF0000"/>
        <rFont val="新細明體"/>
        <family val="1"/>
        <charset val="136"/>
      </rPr>
      <t>枝條蟲害徵狀</t>
    </r>
    <phoneticPr fontId="1" type="noConversion"/>
  </si>
  <si>
    <t>#1401</t>
    <phoneticPr fontId="1" type="noConversion"/>
  </si>
  <si>
    <r>
      <rPr>
        <sz val="10"/>
        <color theme="1"/>
        <rFont val="新細明體"/>
        <family val="1"/>
        <charset val="136"/>
      </rPr>
      <t>枝條有受害徵狀？</t>
    </r>
    <phoneticPr fontId="1" type="noConversion"/>
  </si>
  <si>
    <r>
      <rPr>
        <sz val="10"/>
        <color theme="1"/>
        <rFont val="新細明體"/>
        <family val="1"/>
        <charset val="136"/>
      </rPr>
      <t>枝幹上具蛀食孔且地面有木屑</t>
    </r>
    <phoneticPr fontId="1" type="noConversion"/>
  </si>
  <si>
    <r>
      <rPr>
        <sz val="10"/>
        <color theme="1"/>
        <rFont val="新細明體"/>
        <family val="1"/>
        <charset val="136"/>
      </rPr>
      <t>咖啡木蠹蛾</t>
    </r>
    <phoneticPr fontId="1" type="noConversion"/>
  </si>
  <si>
    <r>
      <rPr>
        <sz val="10"/>
        <color theme="1"/>
        <rFont val="新細明體"/>
        <family val="1"/>
        <charset val="136"/>
      </rPr>
      <t>蟲體固著枝幹上且覆白色臘狀物</t>
    </r>
    <phoneticPr fontId="1" type="noConversion"/>
  </si>
  <si>
    <r>
      <rPr>
        <sz val="10"/>
        <color theme="1"/>
        <rFont val="新細明體"/>
        <family val="1"/>
        <charset val="136"/>
      </rPr>
      <t>角臘介殼蟲</t>
    </r>
    <phoneticPr fontId="1" type="noConversion"/>
  </si>
  <si>
    <r>
      <rPr>
        <sz val="10"/>
        <color theme="1"/>
        <rFont val="細明體"/>
        <family val="3"/>
        <charset val="136"/>
      </rPr>
      <t>若蟲及雌成蟲聚集在枝梢或樹幹上，吸食茶樹汁液，使得樹勢衰弱。密度高時並誘發煤煙病，促使數勢更加衰弱。</t>
    </r>
    <phoneticPr fontId="1" type="noConversion"/>
  </si>
  <si>
    <r>
      <rPr>
        <sz val="10"/>
        <color theme="1"/>
        <rFont val="新細明體"/>
        <family val="1"/>
        <charset val="136"/>
      </rPr>
      <t>枝條上聚集多頭成堆幼蟲取食整片茶葉，嚴重時受害茶樹僅存光禿枝條？</t>
    </r>
    <phoneticPr fontId="1" type="noConversion"/>
  </si>
  <si>
    <r>
      <rPr>
        <sz val="10"/>
        <color theme="1"/>
        <rFont val="新細明體"/>
        <family val="1"/>
        <charset val="136"/>
      </rPr>
      <t>茶蠶。</t>
    </r>
    <phoneticPr fontId="1" type="noConversion"/>
  </si>
  <si>
    <r>
      <rPr>
        <sz val="10"/>
        <color rgb="FFFF0000"/>
        <rFont val="新細明體"/>
        <family val="1"/>
        <charset val="136"/>
      </rPr>
      <t>根部蟲害徵狀</t>
    </r>
    <phoneticPr fontId="1" type="noConversion"/>
  </si>
  <si>
    <r>
      <rPr>
        <sz val="10"/>
        <color theme="1"/>
        <rFont val="新細明體"/>
        <family val="1"/>
        <charset val="136"/>
      </rPr>
      <t>根部有受害徵狀？</t>
    </r>
    <phoneticPr fontId="1" type="noConversion"/>
  </si>
  <si>
    <r>
      <rPr>
        <sz val="10"/>
        <color theme="1"/>
        <rFont val="新細明體"/>
        <family val="1"/>
        <charset val="136"/>
      </rPr>
      <t>根部殘留被咬痕跡，幼木整株枯死，成樹勢逐漸衰弱，冬季有落葉出現？</t>
    </r>
    <phoneticPr fontId="1" type="noConversion"/>
  </si>
  <si>
    <r>
      <rPr>
        <sz val="10"/>
        <color theme="1"/>
        <rFont val="新細明體"/>
        <family val="1"/>
        <charset val="136"/>
      </rPr>
      <t>甲蟲</t>
    </r>
    <r>
      <rPr>
        <sz val="10"/>
        <color theme="1"/>
        <rFont val="Times New Roman"/>
        <family val="1"/>
      </rPr>
      <t xml:space="preserve">: </t>
    </r>
    <r>
      <rPr>
        <sz val="10"/>
        <color theme="1"/>
        <rFont val="新細明體"/>
        <family val="1"/>
        <charset val="136"/>
      </rPr>
      <t>蠐螬</t>
    </r>
    <r>
      <rPr>
        <sz val="10"/>
        <color theme="1"/>
        <rFont val="Times New Roman"/>
        <family val="1"/>
      </rPr>
      <t>(</t>
    </r>
    <r>
      <rPr>
        <sz val="10"/>
        <color theme="1"/>
        <rFont val="新細明體"/>
        <family val="1"/>
        <charset val="136"/>
      </rPr>
      <t>金龜子</t>
    </r>
    <r>
      <rPr>
        <sz val="10"/>
        <color theme="1"/>
        <rFont val="Times New Roman"/>
        <family val="1"/>
      </rPr>
      <t xml:space="preserve">, </t>
    </r>
    <r>
      <rPr>
        <sz val="10"/>
        <color theme="1"/>
        <rFont val="新細明體"/>
        <family val="1"/>
        <charset val="136"/>
      </rPr>
      <t>雞母蟲</t>
    </r>
    <r>
      <rPr>
        <sz val="10"/>
        <color theme="1"/>
        <rFont val="Times New Roman"/>
        <family val="1"/>
      </rPr>
      <t xml:space="preserve">, </t>
    </r>
    <r>
      <rPr>
        <sz val="10"/>
        <color theme="1"/>
        <rFont val="新細明體"/>
        <family val="1"/>
        <charset val="136"/>
      </rPr>
      <t>獨角仙</t>
    </r>
    <r>
      <rPr>
        <sz val="10"/>
        <color theme="1"/>
        <rFont val="Times New Roman"/>
        <family val="1"/>
      </rPr>
      <t>);</t>
    </r>
    <r>
      <rPr>
        <sz val="10"/>
        <color theme="1"/>
        <rFont val="新細明體"/>
        <family val="1"/>
        <charset val="136"/>
      </rPr>
      <t>天牛</t>
    </r>
    <r>
      <rPr>
        <sz val="10"/>
        <color theme="1"/>
        <rFont val="Times New Roman"/>
        <family val="1"/>
      </rPr>
      <t xml:space="preserve">; </t>
    </r>
    <r>
      <rPr>
        <sz val="10"/>
        <color theme="1"/>
        <rFont val="新細明體"/>
        <family val="1"/>
        <charset val="136"/>
      </rPr>
      <t>象鼻蟲</t>
    </r>
    <r>
      <rPr>
        <sz val="10"/>
        <color theme="1"/>
        <rFont val="Times New Roman"/>
        <family val="1"/>
      </rPr>
      <t xml:space="preserve"> </t>
    </r>
    <r>
      <rPr>
        <sz val="10"/>
        <color theme="1"/>
        <rFont val="新細明體"/>
        <family val="1"/>
        <charset val="136"/>
      </rPr>
      <t>。</t>
    </r>
    <phoneticPr fontId="1" type="noConversion"/>
  </si>
  <si>
    <r>
      <rPr>
        <sz val="10"/>
        <color theme="1"/>
        <rFont val="新細明體"/>
        <family val="1"/>
        <charset val="136"/>
      </rPr>
      <t>主幹空心</t>
    </r>
    <r>
      <rPr>
        <sz val="10"/>
        <color theme="1"/>
        <rFont val="Times New Roman"/>
        <family val="1"/>
      </rPr>
      <t xml:space="preserve">, </t>
    </r>
    <r>
      <rPr>
        <sz val="10"/>
        <color theme="1"/>
        <rFont val="新細明體"/>
        <family val="1"/>
        <charset val="136"/>
      </rPr>
      <t>順著主幹至根系形成土坑</t>
    </r>
    <phoneticPr fontId="1" type="noConversion"/>
  </si>
  <si>
    <r>
      <rPr>
        <sz val="10"/>
        <color theme="1"/>
        <rFont val="新細明體"/>
        <family val="1"/>
        <charset val="136"/>
      </rPr>
      <t>白蟻</t>
    </r>
    <phoneticPr fontId="1" type="noConversion"/>
  </si>
  <si>
    <r>
      <rPr>
        <sz val="10"/>
        <color theme="1"/>
        <rFont val="細明體"/>
        <family val="3"/>
        <charset val="136"/>
      </rPr>
      <t>危害茶樹的根與莖。危害莖時，在枝條外側附上一層泥土，棲於內面危害；危害地下根部時，順著根系周圍築成一坑道危害。</t>
    </r>
    <phoneticPr fontId="1" type="noConversion"/>
  </si>
  <si>
    <r>
      <rPr>
        <sz val="10"/>
        <color theme="1"/>
        <rFont val="新細明體"/>
        <family val="1"/>
        <charset val="136"/>
      </rPr>
      <t>是</t>
    </r>
    <phoneticPr fontId="1" type="noConversion"/>
  </si>
  <si>
    <r>
      <rPr>
        <sz val="10"/>
        <color rgb="FF0070C0"/>
        <rFont val="新細明體"/>
        <family val="2"/>
        <charset val="136"/>
      </rPr>
      <t>病害診斷</t>
    </r>
    <phoneticPr fontId="1" type="noConversion"/>
  </si>
  <si>
    <r>
      <t xml:space="preserve">Main Branch 2, Secondary Branch 1: </t>
    </r>
    <r>
      <rPr>
        <sz val="10"/>
        <color theme="1"/>
        <rFont val="新細明體"/>
        <family val="2"/>
        <charset val="136"/>
      </rPr>
      <t>無菌絲體出現</t>
    </r>
    <phoneticPr fontId="1" type="noConversion"/>
  </si>
  <si>
    <r>
      <rPr>
        <sz val="10"/>
        <color rgb="FFFF0000"/>
        <rFont val="新細明體"/>
        <family val="1"/>
        <charset val="136"/>
      </rPr>
      <t>無菌絲體病害徵狀</t>
    </r>
    <phoneticPr fontId="1" type="noConversion"/>
  </si>
  <si>
    <r>
      <rPr>
        <sz val="10"/>
        <color theme="1"/>
        <rFont val="新細明體"/>
        <family val="1"/>
        <charset val="136"/>
      </rPr>
      <t>無菌絲體出現？</t>
    </r>
    <phoneticPr fontId="1" type="noConversion"/>
  </si>
  <si>
    <r>
      <rPr>
        <sz val="10"/>
        <color theme="1"/>
        <rFont val="新細明體"/>
        <family val="1"/>
        <charset val="136"/>
      </rPr>
      <t>整株或從某處向上部份皆呈黃綠嵌紋壞疽斑，畸型或捲縮，生長勢較弱？</t>
    </r>
    <phoneticPr fontId="1" type="noConversion"/>
  </si>
  <si>
    <r>
      <rPr>
        <sz val="10"/>
        <color theme="1"/>
        <rFont val="新細明體"/>
        <family val="1"/>
        <charset val="136"/>
      </rPr>
      <t>病毒。</t>
    </r>
    <phoneticPr fontId="1" type="noConversion"/>
  </si>
  <si>
    <r>
      <rPr>
        <sz val="10"/>
        <color theme="1"/>
        <rFont val="新細明體"/>
        <family val="1"/>
        <charset val="136"/>
      </rPr>
      <t>細菌。</t>
    </r>
    <phoneticPr fontId="1" type="noConversion"/>
  </si>
  <si>
    <r>
      <rPr>
        <sz val="10"/>
        <color theme="1"/>
        <rFont val="新細明體"/>
        <family val="1"/>
        <charset val="136"/>
      </rPr>
      <t>被害處黃化或簇葉狀，或葉緣焦枯？</t>
    </r>
    <phoneticPr fontId="1" type="noConversion"/>
  </si>
  <si>
    <r>
      <rPr>
        <sz val="10"/>
        <color theme="1"/>
        <rFont val="新細明體"/>
        <family val="1"/>
        <charset val="136"/>
      </rPr>
      <t>細菌</t>
    </r>
    <r>
      <rPr>
        <sz val="10"/>
        <color theme="1"/>
        <rFont val="Times New Roman"/>
        <family val="1"/>
      </rPr>
      <t>(</t>
    </r>
    <r>
      <rPr>
        <sz val="10"/>
        <color theme="1"/>
        <rFont val="新細明體"/>
        <family val="1"/>
        <charset val="136"/>
      </rPr>
      <t>棲息篩管或導管</t>
    </r>
    <r>
      <rPr>
        <sz val="10"/>
        <color theme="1"/>
        <rFont val="Times New Roman"/>
        <family val="1"/>
      </rPr>
      <t>)</t>
    </r>
    <r>
      <rPr>
        <sz val="10"/>
        <color theme="1"/>
        <rFont val="新細明體"/>
        <family val="1"/>
        <charset val="136"/>
      </rPr>
      <t>。</t>
    </r>
    <phoneticPr fontId="1" type="noConversion"/>
  </si>
  <si>
    <r>
      <t xml:space="preserve">Main Branch 2, Secondary Branch 2: </t>
    </r>
    <r>
      <rPr>
        <sz val="10"/>
        <color theme="1"/>
        <rFont val="新細明體"/>
        <family val="2"/>
        <charset val="136"/>
      </rPr>
      <t>有菌絲體出現</t>
    </r>
    <phoneticPr fontId="1" type="noConversion"/>
  </si>
  <si>
    <r>
      <rPr>
        <sz val="10"/>
        <color rgb="FFFF0000"/>
        <rFont val="新細明體"/>
        <family val="1"/>
        <charset val="136"/>
      </rPr>
      <t>有菌絲體病害徵狀</t>
    </r>
    <phoneticPr fontId="1" type="noConversion"/>
  </si>
  <si>
    <r>
      <rPr>
        <sz val="10"/>
        <color theme="1"/>
        <rFont val="新細明體"/>
        <family val="1"/>
        <charset val="136"/>
      </rPr>
      <t>有菌絲體出現？</t>
    </r>
    <phoneticPr fontId="1" type="noConversion"/>
  </si>
  <si>
    <r>
      <rPr>
        <sz val="10"/>
        <color theme="1"/>
        <rFont val="新細明體"/>
        <family val="1"/>
        <charset val="136"/>
      </rPr>
      <t>主要危害嫩芽、嫩葉及嫩梢，葉面病斑之葉肉肥厚呈淡綠至紅褐色，病斑葉背可形成白色子實層？</t>
    </r>
    <phoneticPr fontId="1" type="noConversion"/>
  </si>
  <si>
    <r>
      <rPr>
        <sz val="10"/>
        <color theme="1"/>
        <rFont val="新細明體"/>
        <family val="1"/>
        <charset val="136"/>
      </rPr>
      <t>茶餅病。</t>
    </r>
    <phoneticPr fontId="1" type="noConversion"/>
  </si>
  <si>
    <r>
      <rPr>
        <sz val="10"/>
        <color theme="1"/>
        <rFont val="細明體"/>
        <family val="3"/>
        <charset val="136"/>
      </rPr>
      <t>本病的發生受環境影響很大，適合發病的環境為冷涼，多霧及陰天陽光不足的季節。</t>
    </r>
    <phoneticPr fontId="1" type="noConversion"/>
  </si>
  <si>
    <r>
      <rPr>
        <sz val="10"/>
        <color theme="1"/>
        <rFont val="細明體"/>
        <family val="3"/>
        <charset val="136"/>
      </rPr>
      <t>初期在葉片上產生淡綠針尖狀小斑點，再轉為淡黃或淡紅色透明斑點，以後逐漸擴大至直徑為</t>
    </r>
    <r>
      <rPr>
        <sz val="10"/>
        <color theme="1"/>
        <rFont val="Times New Roman"/>
        <family val="1"/>
      </rPr>
      <t>1/4</t>
    </r>
    <r>
      <rPr>
        <sz val="10"/>
        <color theme="1"/>
        <rFont val="細明體"/>
        <family val="3"/>
        <charset val="136"/>
      </rPr>
      <t>～</t>
    </r>
    <r>
      <rPr>
        <sz val="10"/>
        <color theme="1"/>
        <rFont val="Times New Roman"/>
        <family val="1"/>
      </rPr>
      <t xml:space="preserve">2/4 </t>
    </r>
    <r>
      <rPr>
        <sz val="10"/>
        <color theme="1"/>
        <rFont val="細明體"/>
        <family val="3"/>
        <charset val="136"/>
      </rPr>
      <t>吋，甚至可達</t>
    </r>
    <r>
      <rPr>
        <sz val="10"/>
        <color theme="1"/>
        <rFont val="Times New Roman"/>
        <family val="1"/>
      </rPr>
      <t xml:space="preserve">3.3 </t>
    </r>
    <r>
      <rPr>
        <sz val="10"/>
        <color theme="1"/>
        <rFont val="細明體"/>
        <family val="3"/>
        <charset val="136"/>
      </rPr>
      <t>公分圓形病斑；病斑成熟時，病斑處向上表皮突出，並在葉背形成白色子實層，其上著生白色粉末狀物，為病原菌之擔孢子。一般多為害嫩芽及嫩葉，偶而亦可感染嫩梢。</t>
    </r>
    <phoneticPr fontId="1" type="noConversion"/>
  </si>
  <si>
    <r>
      <rPr>
        <sz val="10"/>
        <color theme="1"/>
        <rFont val="新細明體"/>
        <family val="1"/>
        <charset val="136"/>
      </rPr>
      <t>發病盛期葉背的白色子實層成網紋狀，病斑後期焦枯褐化？</t>
    </r>
    <phoneticPr fontId="1" type="noConversion"/>
  </si>
  <si>
    <r>
      <rPr>
        <sz val="10"/>
        <color theme="1"/>
        <rFont val="新細明體"/>
        <family val="1"/>
        <charset val="136"/>
      </rPr>
      <t>茶網餅病。</t>
    </r>
    <phoneticPr fontId="1" type="noConversion"/>
  </si>
  <si>
    <r>
      <rPr>
        <sz val="10"/>
        <color theme="1"/>
        <rFont val="新細明體"/>
        <family val="1"/>
        <charset val="136"/>
      </rPr>
      <t>病斑葉背呈現出深綠色的凸起之小點，隨著葉齡增加而增多，罹病葉壽命縮短，造成茶樹嚴重落葉？</t>
    </r>
    <phoneticPr fontId="1" type="noConversion"/>
  </si>
  <si>
    <r>
      <rPr>
        <sz val="10"/>
        <color theme="1"/>
        <rFont val="新細明體"/>
        <family val="1"/>
        <charset val="136"/>
      </rPr>
      <t>茶褐色圓星病。</t>
    </r>
    <phoneticPr fontId="1" type="noConversion"/>
  </si>
  <si>
    <r>
      <rPr>
        <sz val="10"/>
        <color theme="1"/>
        <rFont val="新細明體"/>
        <family val="1"/>
        <charset val="136"/>
      </rPr>
      <t>黑色細絲狀菌索從發生點沿著枝葉往上攀附蔓延，嚴重者茶樹的中、下位葉層枝葉乾枯死亡？</t>
    </r>
    <phoneticPr fontId="1" type="noConversion"/>
  </si>
  <si>
    <r>
      <rPr>
        <sz val="10"/>
        <color theme="1"/>
        <rFont val="新細明體"/>
        <family val="1"/>
        <charset val="136"/>
      </rPr>
      <t>茶髮狀病。</t>
    </r>
    <phoneticPr fontId="1" type="noConversion"/>
  </si>
  <si>
    <r>
      <rPr>
        <sz val="10"/>
        <color theme="1"/>
        <rFont val="新細明體"/>
        <family val="2"/>
        <charset val="136"/>
      </rPr>
      <t>整排翠綠茶行中有一撮枯死的枝葉？</t>
    </r>
    <phoneticPr fontId="1" type="noConversion"/>
  </si>
  <si>
    <r>
      <rPr>
        <sz val="10"/>
        <color theme="1"/>
        <rFont val="新細明體"/>
        <family val="1"/>
        <charset val="136"/>
      </rPr>
      <t>茶枝枯病。</t>
    </r>
    <phoneticPr fontId="1" type="noConversion"/>
  </si>
  <si>
    <r>
      <rPr>
        <sz val="10"/>
        <color theme="1"/>
        <rFont val="細明體"/>
        <family val="3"/>
        <charset val="136"/>
      </rPr>
      <t>病原菌之分生孢子由摘茶及剪枝之傷口侵入、感染，致使葉片黃化，葉面失去光澤，以後逐漸轉為淡綠色，再轉為淡褐色，後期呈深褐色，受害枝條嫩梢下垂，以致枯萎葉片掉落，繼而以菌絲蔓延至其他枝條，枝條呈褐色，植株之水分因而嚴重受阻而失水，最後全枝葉片褐化乾枯，此時枯葉仍留在枝條上，其他未受害的枝條仍維持健壯，在田間景象為整排翠綠茶行中有一撮枯死的枝葉；病勢向上、下延伸，至主枝分枝處或主幹環狀受害時，則受害部以上枝條全部枯萎，嚴重時感染部位的皮層部份死亡，其他健全的組織向感染處增生、產生癒合組織，而形成中間凹陷或凹凸不平的潰瘍病徵，成熟的枝條上會形成潰瘍的病斑，亦即受感染的枝條形成癒傷組織，同一枝條可能有一個或數個，終致整株或整欉茶樹落葉而枯死。剖視罹病枝條，可見罹病部位組織之皮層及木質部為深褐色，健康之部位則為綠色或灰白色。</t>
    </r>
    <phoneticPr fontId="1" type="noConversion"/>
  </si>
  <si>
    <r>
      <rPr>
        <sz val="10"/>
        <color theme="1"/>
        <rFont val="新細明體"/>
        <family val="1"/>
        <charset val="136"/>
      </rPr>
      <t>成葉病徵初期為黃綠色小點，擴大後顏色加深呈赤褐色，上有灰黑色小點，老病斑則為灰色；嫩葉的病斑呈褐色小斑點，後期轉為黑褐色；嫩枝條變成黑色，容易折斷？</t>
    </r>
    <phoneticPr fontId="1" type="noConversion"/>
  </si>
  <si>
    <r>
      <rPr>
        <sz val="10"/>
        <color theme="1"/>
        <rFont val="新細明體"/>
        <family val="1"/>
        <charset val="136"/>
      </rPr>
      <t>茶赤葉枯病。</t>
    </r>
    <phoneticPr fontId="1" type="noConversion"/>
  </si>
  <si>
    <r>
      <rPr>
        <sz val="10"/>
        <color theme="1"/>
        <rFont val="細明體"/>
        <family val="3"/>
        <charset val="136"/>
      </rPr>
      <t>多在葉緣或葉尖開始發病。初期病斑呈黃綠色水浸狀，漸變褐色，擴展為半圓形、近圓形或不規則形的大斑。在擴展過程中，病斑色澤內向外轉呈灰白色，並有不甚明顯的同心輪紋。後期病斑上生不規則或輪紋狀排列平的小黑點。</t>
    </r>
    <phoneticPr fontId="1" type="noConversion"/>
  </si>
  <si>
    <r>
      <rPr>
        <sz val="10"/>
        <color theme="1"/>
        <rFont val="細明體"/>
        <family val="3"/>
        <charset val="136"/>
      </rPr>
      <t>以嫩葉感染為主，初期葉片上產生淡綠色水浸狀之小病斑，以後病斑逐漸擴大為</t>
    </r>
    <r>
      <rPr>
        <sz val="10"/>
        <color theme="1"/>
        <rFont val="Times New Roman"/>
        <family val="1"/>
      </rPr>
      <t>2-3</t>
    </r>
    <r>
      <rPr>
        <sz val="10"/>
        <color theme="1"/>
        <rFont val="細明體"/>
        <family val="3"/>
        <charset val="136"/>
      </rPr>
      <t>公分並轉成黑褐色，病斑持續擴大並癒合成暗褐色不規則形病斑，病斑及分生孢子堆的形成因受光照影響而呈同心輪紋狀，嚴重時引起葉片提早脫落。</t>
    </r>
    <phoneticPr fontId="1" type="noConversion"/>
  </si>
  <si>
    <r>
      <rPr>
        <sz val="10"/>
        <color theme="1"/>
        <rFont val="新細明體"/>
        <family val="1"/>
        <charset val="136"/>
      </rPr>
      <t>發生於枝葉上，產生毛狀或絨毛狀的褐色、黑色的覆蓋物，容易剝離？</t>
    </r>
    <phoneticPr fontId="1" type="noConversion"/>
  </si>
  <si>
    <r>
      <rPr>
        <sz val="10"/>
        <color theme="1"/>
        <rFont val="新細明體"/>
        <family val="1"/>
        <charset val="136"/>
      </rPr>
      <t>煤病。</t>
    </r>
    <phoneticPr fontId="1" type="noConversion"/>
  </si>
  <si>
    <r>
      <rPr>
        <sz val="10"/>
        <color theme="1"/>
        <rFont val="新細明體"/>
        <family val="1"/>
        <charset val="136"/>
      </rPr>
      <t>葉片中間形成大型的褐、灰或黑色的斑點，呈圓形或不規則形？</t>
    </r>
    <phoneticPr fontId="1" type="noConversion"/>
  </si>
  <si>
    <r>
      <rPr>
        <sz val="10"/>
        <color theme="1"/>
        <rFont val="新細明體"/>
        <family val="1"/>
        <charset val="136"/>
      </rPr>
      <t>日燒。</t>
    </r>
    <phoneticPr fontId="1" type="noConversion"/>
  </si>
  <si>
    <r>
      <rPr>
        <sz val="10"/>
        <color theme="1"/>
        <rFont val="細明體"/>
        <family val="3"/>
        <charset val="136"/>
      </rPr>
      <t>葉片中間形成大型的褐、灰或黑色的斑點，呈圓形或不規則形。初期病斑有如熱水川燙之褪色斑塊，逐漸因半寄生或腐生菌的侵入，轉成灰色或黑色的病斑，在潮濕、乾燥交替的狀態下，病斑呈現出軟腐、乾腐或破裂的情形，有時茶園的整片採摘面滿佈日燒病斑。</t>
    </r>
    <phoneticPr fontId="1" type="noConversion"/>
  </si>
  <si>
    <r>
      <t xml:space="preserve">Main Branch 2, Secondary Branch 3: </t>
    </r>
    <r>
      <rPr>
        <sz val="10"/>
        <color theme="1"/>
        <rFont val="新細明體"/>
        <family val="2"/>
        <charset val="136"/>
      </rPr>
      <t>根部受害</t>
    </r>
    <phoneticPr fontId="1" type="noConversion"/>
  </si>
  <si>
    <r>
      <rPr>
        <sz val="10"/>
        <color rgb="FFFF0000"/>
        <rFont val="新細明體"/>
        <family val="1"/>
        <charset val="136"/>
      </rPr>
      <t>根部病害徵狀</t>
    </r>
    <phoneticPr fontId="1" type="noConversion"/>
  </si>
  <si>
    <r>
      <rPr>
        <sz val="10"/>
        <color theme="1"/>
        <rFont val="新細明體"/>
        <family val="1"/>
        <charset val="136"/>
      </rPr>
      <t>根部受害？</t>
    </r>
    <phoneticPr fontId="1" type="noConversion"/>
  </si>
  <si>
    <r>
      <rPr>
        <sz val="10"/>
        <color theme="1"/>
        <rFont val="新細明體"/>
        <family val="1"/>
        <charset val="136"/>
      </rPr>
      <t>罹病株地際部及主根皮層易脫落？</t>
    </r>
    <phoneticPr fontId="1" type="noConversion"/>
  </si>
  <si>
    <r>
      <rPr>
        <sz val="10"/>
        <color theme="1"/>
        <rFont val="新細明體"/>
        <family val="1"/>
        <charset val="136"/>
      </rPr>
      <t>白紋羽病。</t>
    </r>
    <phoneticPr fontId="1" type="noConversion"/>
  </si>
  <si>
    <r>
      <rPr>
        <sz val="10"/>
        <color theme="1"/>
        <rFont val="新細明體"/>
        <family val="1"/>
        <charset val="136"/>
      </rPr>
      <t>主、支根表皮形成褐色至黑色的斑點，嚴重時使得茶樹根群褐變死亡</t>
    </r>
    <r>
      <rPr>
        <sz val="10"/>
        <color theme="1"/>
        <rFont val="Times New Roman"/>
        <family val="1"/>
      </rPr>
      <t xml:space="preserve"> (</t>
    </r>
    <r>
      <rPr>
        <sz val="10"/>
        <color theme="1"/>
        <rFont val="新細明體"/>
        <family val="1"/>
        <charset val="136"/>
      </rPr>
      <t>幼根應有根瘤</t>
    </r>
    <r>
      <rPr>
        <sz val="10"/>
        <color theme="1"/>
        <rFont val="Times New Roman"/>
        <family val="1"/>
      </rPr>
      <t>)</t>
    </r>
    <r>
      <rPr>
        <sz val="10"/>
        <color theme="1"/>
        <rFont val="新細明體"/>
        <family val="1"/>
        <charset val="136"/>
      </rPr>
      <t>？</t>
    </r>
    <phoneticPr fontId="1" type="noConversion"/>
  </si>
  <si>
    <r>
      <rPr>
        <sz val="10"/>
        <color theme="1"/>
        <rFont val="新細明體"/>
        <family val="1"/>
        <charset val="136"/>
      </rPr>
      <t>線蟲。</t>
    </r>
    <phoneticPr fontId="1" type="noConversion"/>
  </si>
  <si>
    <t>Exit Pest &amp; Diseases Diagnosis</t>
    <phoneticPr fontId="1" type="noConversion"/>
  </si>
  <si>
    <r>
      <rPr>
        <sz val="10"/>
        <color theme="1"/>
        <rFont val="新細明體"/>
        <family val="1"/>
        <charset val="136"/>
      </rPr>
      <t>最近才發生，而過去沒有，很可能與病蟲害有關。</t>
    </r>
    <phoneticPr fontId="1" type="noConversion"/>
  </si>
  <si>
    <t>鋅缺乏</t>
    <phoneticPr fontId="1" type="noConversion"/>
  </si>
  <si>
    <t>Necrotic spots spreading to veins, thin leaves?</t>
    <phoneticPr fontId="1" type="noConversion"/>
  </si>
  <si>
    <t>#1202</t>
    <phoneticPr fontId="1" type="noConversion"/>
  </si>
  <si>
    <t>#1306</t>
    <phoneticPr fontId="1" type="noConversion"/>
  </si>
  <si>
    <t>鋅缺乏的植物常出現葉片的葉脈間黃化，這些區域呈現白綠色、黃色甚至白色，嚴重時幼葉變小，新梢節間變短，在年輕的枝條末端形成不均勻的簇狀小硬葉。</t>
    <phoneticPr fontId="1" type="noConversion"/>
  </si>
  <si>
    <t>錳缺乏。</t>
    <phoneticPr fontId="1" type="noConversion"/>
  </si>
  <si>
    <t>整片老葉呈現深綠色至紫紅色？</t>
    <phoneticPr fontId="1" type="noConversion"/>
  </si>
  <si>
    <r>
      <rPr>
        <sz val="10"/>
        <color rgb="FFFF0000"/>
        <rFont val="新細明體"/>
        <family val="1"/>
        <charset val="136"/>
      </rPr>
      <t>老葉</t>
    </r>
    <r>
      <rPr>
        <sz val="10"/>
        <color rgb="FFFF0000"/>
        <rFont val="Times New Roman"/>
        <family val="1"/>
      </rPr>
      <t>/</t>
    </r>
    <r>
      <rPr>
        <sz val="10"/>
        <color rgb="FFFF0000"/>
        <rFont val="新細明體"/>
        <family val="1"/>
        <charset val="136"/>
      </rPr>
      <t>成熟葉徵狀判釋</t>
    </r>
    <phoneticPr fontId="1" type="noConversion"/>
  </si>
  <si>
    <t>Matured leaves have localized chlorosis or necrotic spots ?</t>
    <phoneticPr fontId="1" type="noConversion"/>
  </si>
  <si>
    <t>成熟葉有局部黃化 和/或 斑點徵狀？</t>
    <phoneticPr fontId="1" type="noConversion"/>
  </si>
  <si>
    <t>#1151</t>
    <phoneticPr fontId="1" type="noConversion"/>
  </si>
  <si>
    <t>#1152</t>
    <phoneticPr fontId="1" type="noConversion"/>
  </si>
  <si>
    <t>#1150</t>
    <phoneticPr fontId="1" type="noConversion"/>
  </si>
  <si>
    <t>葉脈間黃化，無斑點？</t>
    <phoneticPr fontId="1" type="noConversion"/>
  </si>
  <si>
    <r>
      <rPr>
        <sz val="10"/>
        <color theme="1"/>
        <rFont val="新細明體"/>
        <family val="1"/>
        <charset val="136"/>
      </rPr>
      <t>頂芽扭曲</t>
    </r>
    <r>
      <rPr>
        <sz val="10"/>
        <color theme="1"/>
        <rFont val="Times New Roman"/>
        <family val="1"/>
      </rPr>
      <t>/</t>
    </r>
    <r>
      <rPr>
        <sz val="10"/>
        <color theme="1"/>
        <rFont val="新細明體"/>
        <family val="1"/>
        <charset val="136"/>
      </rPr>
      <t>枯死，側芽簇生？</t>
    </r>
    <phoneticPr fontId="1" type="noConversion"/>
  </si>
  <si>
    <t>#1000</t>
    <phoneticPr fontId="1" type="noConversion"/>
  </si>
  <si>
    <t>整片新葉有白化現象，葉片萎凋下垂，葉尖逐漸死亡？</t>
    <phoneticPr fontId="1" type="noConversion"/>
  </si>
  <si>
    <t>#1304</t>
    <phoneticPr fontId="1" type="noConversion"/>
  </si>
  <si>
    <t>頂芽扭曲/枯死，無側芽簇生；新葉有褐斑或變形？</t>
    <phoneticPr fontId="1" type="noConversion"/>
  </si>
  <si>
    <t>整片老葉呈現淺綠色至黃色，但沒有壞死的斑點；葉尖枯萎？</t>
    <phoneticPr fontId="1" type="noConversion"/>
  </si>
  <si>
    <t>整片老葉呈現淺綠色至黃色，葉脈間有壞死斑點；新葉有時會呈現捲曲狀？</t>
    <phoneticPr fontId="1" type="noConversion"/>
  </si>
  <si>
    <r>
      <rPr>
        <sz val="10"/>
        <color theme="1"/>
        <rFont val="細明體"/>
        <family val="3"/>
        <charset val="136"/>
      </rPr>
      <t>鉬參與氮的代謝。植物缺鉬，一般表現氮缺乏的徵候，老葉沿主脈發生黃化及壞疽。因發生局部壞疽且葉片形成期早期，維管束的分化不足，許多植物的缺乏症特徵為葉片的形成急速減少且其形態成為不規則，稱為鞭狀尾。
鉬易被鐵及鋁氧化物</t>
    </r>
    <r>
      <rPr>
        <sz val="10"/>
        <color theme="1"/>
        <rFont val="Times New Roman"/>
        <family val="1"/>
      </rPr>
      <t>(</t>
    </r>
    <r>
      <rPr>
        <sz val="10"/>
        <color theme="1"/>
        <rFont val="細明體"/>
        <family val="3"/>
        <charset val="136"/>
      </rPr>
      <t>紅壤</t>
    </r>
    <r>
      <rPr>
        <sz val="10"/>
        <color theme="1"/>
        <rFont val="Times New Roman"/>
        <family val="1"/>
      </rPr>
      <t>)</t>
    </r>
    <r>
      <rPr>
        <sz val="10"/>
        <color theme="1"/>
        <rFont val="細明體"/>
        <family val="3"/>
        <charset val="136"/>
      </rPr>
      <t>吸附而變成作物無法吸收利用之型態，以致作物生長易發生缺鉬症狀。冬季低溫乾旱，土壤</t>
    </r>
    <r>
      <rPr>
        <sz val="10"/>
        <color theme="1"/>
        <rFont val="Times New Roman"/>
        <family val="1"/>
      </rPr>
      <t>pH4</t>
    </r>
    <r>
      <rPr>
        <sz val="10"/>
        <color theme="1"/>
        <rFont val="細明體"/>
        <family val="3"/>
        <charset val="136"/>
      </rPr>
      <t>以下，土壤中鋅和鉬的有效性低，容易缺乏。</t>
    </r>
    <phoneticPr fontId="1" type="noConversion"/>
  </si>
  <si>
    <t>老葉葉片小且厚，葉色濃綠？新葉節間長且柔軟？</t>
    <phoneticPr fontId="1" type="noConversion"/>
  </si>
  <si>
    <t>整片新葉黃化，葉脈淺綠，無斑點？</t>
    <phoneticPr fontId="1" type="noConversion"/>
  </si>
  <si>
    <t>葉脈深綠，壞死區域從葉緣向葉脈延伸；簇生叢葉或葉片有帶狀條紋？</t>
    <phoneticPr fontId="1" type="noConversion"/>
  </si>
  <si>
    <t>植冠底部1/3沒有老葉可供判釋？抽新梢不整齊？</t>
    <phoneticPr fontId="1" type="noConversion"/>
  </si>
  <si>
    <t>Q1302</t>
    <phoneticPr fontId="1" type="noConversion"/>
  </si>
  <si>
    <t>代表程式結束資料夾圖片刪除</t>
    <phoneticPr fontId="1" type="noConversion"/>
  </si>
  <si>
    <t>隱藏的節點</t>
    <phoneticPr fontId="1" type="noConversion"/>
  </si>
  <si>
    <t>章節結論</t>
    <phoneticPr fontId="1" type="noConversion"/>
  </si>
  <si>
    <t>Main Branch 1, Secondary Branch 1: Temporary High Water Table Diagnosis</t>
    <phoneticPr fontId="1" type="noConversion"/>
  </si>
  <si>
    <t>茶樹優先吸收銨氮。茶樹內硝酸還原酶活性弱，不易將硝態氮還原成銨後合成各種胺基酸；茶樹體內存在谷氨酸脫氫酶、谷醯胺合成酶等，能迅速將吸收的銨態氮轉化成茶氨酸及其他胺基酸。</t>
    <phoneticPr fontId="1" type="noConversion"/>
  </si>
  <si>
    <r>
      <rPr>
        <sz val="10"/>
        <color theme="1"/>
        <rFont val="細明體"/>
        <family val="3"/>
        <charset val="136"/>
      </rPr>
      <t>砂耕茶樹經</t>
    </r>
    <r>
      <rPr>
        <sz val="10"/>
        <color theme="1"/>
        <rFont val="Times New Roman"/>
        <family val="1"/>
      </rPr>
      <t>3</t>
    </r>
    <r>
      <rPr>
        <sz val="10"/>
        <color theme="1"/>
        <rFont val="細明體"/>
        <family val="3"/>
        <charset val="136"/>
      </rPr>
      <t>、</t>
    </r>
    <r>
      <rPr>
        <sz val="10"/>
        <color theme="1"/>
        <rFont val="Times New Roman"/>
        <family val="1"/>
      </rPr>
      <t>4</t>
    </r>
    <r>
      <rPr>
        <sz val="10"/>
        <color theme="1"/>
        <rFont val="細明體"/>
        <family val="3"/>
        <charset val="136"/>
      </rPr>
      <t>個月不施硼時，在嫩芽上先出現小黑點，當芽展開成葉時，此小黑點存留在葉緣上，葉片繼續增大，但在黑點周圍葉細胞則失去分裂能力，使其葉形成葉間向下彎曲之異狀。</t>
    </r>
    <phoneticPr fontId="1" type="noConversion"/>
  </si>
  <si>
    <t>銅在茶樹細根的濃度較高，葉片與細枝次之，但其在茶樹體內濃度分布差異並不顯著為茶多酚氧化酶、抗壞血酸氧化酶的組成成份，並可提高葉綠素的穩定性，促進光反應的進行。此外，銅黃蛋白還有催化脂肪代謝作用。
雖然缺銅時，會抑制茶樹的氧化還原、光合作用、呼吸作用及脂肪代謝。但因銅為酶的組成分之一，茶樹需求量低，砂耕茶樹經過將近一年未施銅肥，仍可正常生長；當葉片銅含量較正常者少一半時，部分幼株嫩葉顯現灰黃，葉尖呈枯乾狀，成葉則有成條之小斑。</t>
    <phoneticPr fontId="1" type="noConversion"/>
  </si>
  <si>
    <t>鐵參與茶樹的光合作用，幫助鐵氧化還原蛋白和葉綠素形成，某些酶的輔基或催化劑，這些酶或輔基含有氮與磷，若缺鐵將影響這些輔基的形成，並降低氮、磷的需要量及吸收量。植物缺鐵時，植株呈缺綠症狀，同時光合作用效率極低，影響生長與花蕾的形成。
茶樹體內的含錳量與鋁一樣，均較其他作物為高，其中老葉的含量最高，其次是芽，枝幹與根系的含量最低。錳在植物體內是一種比較難移動的元素，且與鐵的吸收有拮抗作用。錳具有較強的氧化還原能力，可促進根部中的硝酸態氮迅速還原成銨態氮，進而合成氨基酸，與氧化還原中的半胱氨酸與胱氨酸反應有關。此外，錳亦為葉綠素合成的必須物質，可促進光合作用，增強呼吸作用，參與提高維生素C及茶多酚含量的作用；並且為蘋果酸酶、檸檬酸脫氫酶等的催化劑。茶樹缺錳時，先在葉片頂部成點狀黃化而漸向內擴張，葉脈則成綠色網狀，同時葉緣具有芝麻大小之焦點亦漸向內增多等重要特徵。</t>
    <phoneticPr fontId="1" type="noConversion"/>
  </si>
  <si>
    <r>
      <rPr>
        <sz val="10"/>
        <color theme="1"/>
        <rFont val="細明體"/>
        <family val="3"/>
        <charset val="136"/>
      </rPr>
      <t>鋅能調節樹體內糖的轉化，與多種酶的組成或催化有關，幾乎牽涉到茶樹生長發育的所有過程，包含生長、發育、衰老、抗寒及抗病等多方面。鋅能增強茶樹根系對氮和磷的吸收力，從而促進茶芽萌發與旺盛生長，並可誘導幼齡茶樹增生較多的根，用鋅液處理過的扦插苗，根系發育較好。
缺鋅時，新梢生長嚴重受阻，光合作用與氮代謝作用受阻礙；鋅有相當高的移行性，新梢生長時，母葉中的鋅含量會明顯下降，造成母葉與嫩葉鋅含量的對比。此外，主幹與主枝所貯存鋅濃度約新梢</t>
    </r>
    <r>
      <rPr>
        <sz val="10"/>
        <color theme="1"/>
        <rFont val="Times New Roman"/>
        <family val="1"/>
      </rPr>
      <t>3</t>
    </r>
    <r>
      <rPr>
        <sz val="10"/>
        <color theme="1"/>
        <rFont val="細明體"/>
        <family val="3"/>
        <charset val="136"/>
      </rPr>
      <t>～</t>
    </r>
    <r>
      <rPr>
        <sz val="10"/>
        <color theme="1"/>
        <rFont val="Times New Roman"/>
        <family val="1"/>
      </rPr>
      <t>5</t>
    </r>
    <r>
      <rPr>
        <sz val="10"/>
        <color theme="1"/>
        <rFont val="細明體"/>
        <family val="3"/>
        <charset val="136"/>
      </rPr>
      <t>倍，潛藏可移行的能量相當的高，故茶樹經</t>
    </r>
    <r>
      <rPr>
        <sz val="10"/>
        <color theme="1"/>
        <rFont val="Times New Roman"/>
        <family val="1"/>
      </rPr>
      <t>10</t>
    </r>
    <r>
      <rPr>
        <sz val="10"/>
        <color theme="1"/>
        <rFont val="細明體"/>
        <family val="3"/>
        <charset val="136"/>
      </rPr>
      <t>個月不施鋅肥，其生長過程中僅有小部分的嫩葉或老葉葉尖有乾枯現象，時間加長則成葉中形成不規則枯斑，葉尖也常成枯乾狀。</t>
    </r>
    <phoneticPr fontId="1" type="noConversion"/>
  </si>
  <si>
    <t>葉片表面出現圓形黃褐絨斑？</t>
    <phoneticPr fontId="1" type="noConversion"/>
  </si>
  <si>
    <t>藻斑病。</t>
    <phoneticPr fontId="1" type="noConversion"/>
  </si>
  <si>
    <t>高溼時，病斑部表面形成濃密毛狀物，其上產生卵形至球形孢子囊，成熟時遇水膜散出許多游走孢子，開始另一次新的感染。病斑阻礙光合作用，影響植株發育。</t>
    <phoneticPr fontId="1" type="noConversion"/>
  </si>
  <si>
    <t>#2209</t>
    <phoneticPr fontId="1" type="noConversion"/>
  </si>
  <si>
    <t>Agrometeorological Environment Diagnosis ?</t>
    <phoneticPr fontId="1" type="noConversion"/>
  </si>
  <si>
    <t>Main Branch 1:  Agrometeorological Environment Diagnosis</t>
    <phoneticPr fontId="1" type="noConversion"/>
  </si>
  <si>
    <t>#1102</t>
    <phoneticPr fontId="1" type="noConversion"/>
  </si>
  <si>
    <t>#1201</t>
    <phoneticPr fontId="1" type="noConversion"/>
  </si>
  <si>
    <t>Main Branch 1, Secondary Branch 2: Cold Damage Diagnosis</t>
    <phoneticPr fontId="1" type="noConversion"/>
  </si>
  <si>
    <t>Q1203</t>
    <phoneticPr fontId="1" type="noConversion"/>
  </si>
  <si>
    <t>Q1204</t>
    <phoneticPr fontId="1" type="noConversion"/>
  </si>
  <si>
    <t>#1203</t>
    <phoneticPr fontId="1" type="noConversion"/>
  </si>
  <si>
    <t>#1204</t>
    <phoneticPr fontId="1" type="noConversion"/>
  </si>
  <si>
    <t>Main Branch 1, Secondary Branch 3: Drought Damage Diagnosis</t>
    <phoneticPr fontId="1" type="noConversion"/>
  </si>
  <si>
    <t xml:space="preserve">#1302 </t>
    <phoneticPr fontId="1" type="noConversion"/>
  </si>
  <si>
    <t>#1300</t>
    <phoneticPr fontId="1" type="noConversion"/>
  </si>
  <si>
    <t>#1302</t>
    <phoneticPr fontId="1" type="noConversion"/>
  </si>
  <si>
    <t>#1341</t>
    <phoneticPr fontId="1" type="noConversion"/>
  </si>
  <si>
    <t>#1322</t>
    <phoneticPr fontId="1" type="noConversion"/>
  </si>
  <si>
    <t>幼株太早被採收和修剪，根系主要集中在表土，易受施肥、灌溉和環境逆境影響。</t>
    <phoneticPr fontId="1" type="noConversion"/>
  </si>
  <si>
    <t>可能還有其他栽培管理上的問題。</t>
    <phoneticPr fontId="1" type="noConversion"/>
  </si>
  <si>
    <t>可能有其他栽培管理上的問題。</t>
    <phoneticPr fontId="1" type="noConversion"/>
  </si>
  <si>
    <r>
      <t xml:space="preserve"> </t>
    </r>
    <r>
      <rPr>
        <sz val="10"/>
        <color theme="1"/>
        <rFont val="細明體"/>
        <family val="3"/>
        <charset val="136"/>
      </rPr>
      <t>茶樹未發生嚴重缺水狀況。</t>
    </r>
    <phoneticPr fontId="1" type="noConversion"/>
  </si>
  <si>
    <r>
      <rPr>
        <sz val="10"/>
        <color theme="1"/>
        <rFont val="細明體"/>
        <family val="3"/>
        <charset val="136"/>
      </rPr>
      <t>冬季</t>
    </r>
    <r>
      <rPr>
        <sz val="10"/>
        <color theme="1"/>
        <rFont val="Times New Roman"/>
        <family val="1"/>
      </rPr>
      <t>(12~2</t>
    </r>
    <r>
      <rPr>
        <sz val="10"/>
        <color theme="1"/>
        <rFont val="細明體"/>
        <family val="3"/>
        <charset val="136"/>
      </rPr>
      <t>月</t>
    </r>
    <r>
      <rPr>
        <sz val="10"/>
        <color theme="1"/>
        <rFont val="Times New Roman"/>
        <family val="1"/>
      </rPr>
      <t>)</t>
    </r>
    <r>
      <rPr>
        <sz val="10"/>
        <color theme="1"/>
        <rFont val="細明體"/>
        <family val="3"/>
        <charset val="136"/>
      </rPr>
      <t>為茶樹正常休眠期間，但老葉太多</t>
    </r>
    <r>
      <rPr>
        <sz val="10"/>
        <color theme="1"/>
        <rFont val="Times New Roman"/>
        <family val="1"/>
      </rPr>
      <t>(NDVI</t>
    </r>
    <r>
      <rPr>
        <sz val="10"/>
        <color theme="1"/>
        <rFont val="細明體"/>
        <family val="3"/>
        <charset val="136"/>
      </rPr>
      <t>偏高，深藍到紫色</t>
    </r>
    <r>
      <rPr>
        <sz val="10"/>
        <color theme="1"/>
        <rFont val="Times New Roman"/>
        <family val="1"/>
      </rPr>
      <t>)</t>
    </r>
    <r>
      <rPr>
        <sz val="10"/>
        <color theme="1"/>
        <rFont val="細明體"/>
        <family val="3"/>
        <charset val="136"/>
      </rPr>
      <t>，並不正常。</t>
    </r>
    <phoneticPr fontId="1" type="noConversion"/>
  </si>
  <si>
    <t>仍有待修正</t>
    <phoneticPr fontId="1" type="noConversion"/>
  </si>
  <si>
    <r>
      <rPr>
        <sz val="10"/>
        <color theme="1"/>
        <rFont val="細明體"/>
        <family val="3"/>
        <charset val="136"/>
      </rPr>
      <t>影像日期：位於圖片上方中央處。
彩色影像：注意茶樹植冠顏色、密度、大小、</t>
    </r>
    <r>
      <rPr>
        <sz val="10"/>
        <color theme="1"/>
        <rFont val="Times New Roman"/>
        <family val="1"/>
      </rPr>
      <t>…</t>
    </r>
    <r>
      <rPr>
        <sz val="10"/>
        <color theme="1"/>
        <rFont val="細明體"/>
        <family val="3"/>
        <charset val="136"/>
      </rPr>
      <t>等的差異。
灰階影像：注意灰階的差異。</t>
    </r>
    <phoneticPr fontId="1" type="noConversion"/>
  </si>
  <si>
    <r>
      <rPr>
        <sz val="10"/>
        <color theme="1"/>
        <rFont val="細明體"/>
        <family val="3"/>
        <charset val="136"/>
      </rPr>
      <t>如果有多張圖片，可使用圖片下方</t>
    </r>
    <r>
      <rPr>
        <sz val="10"/>
        <color theme="1"/>
        <rFont val="Times New Roman"/>
        <family val="1"/>
      </rPr>
      <t xml:space="preserve"> &lt; </t>
    </r>
    <r>
      <rPr>
        <sz val="10"/>
        <color theme="1"/>
        <rFont val="細明體"/>
        <family val="3"/>
        <charset val="136"/>
      </rPr>
      <t>或</t>
    </r>
    <r>
      <rPr>
        <sz val="10"/>
        <color theme="1"/>
        <rFont val="Times New Roman"/>
        <family val="1"/>
      </rPr>
      <t xml:space="preserve"> &gt; </t>
    </r>
    <r>
      <rPr>
        <sz val="10"/>
        <color theme="1"/>
        <rFont val="細明體"/>
        <family val="3"/>
        <charset val="136"/>
      </rPr>
      <t>按鍵，向前或向後顯示不同圖片。
也可利用</t>
    </r>
    <r>
      <rPr>
        <sz val="10"/>
        <color theme="1"/>
        <rFont val="Times New Roman"/>
        <family val="1"/>
      </rPr>
      <t xml:space="preserve"> + </t>
    </r>
    <r>
      <rPr>
        <sz val="10"/>
        <color theme="1"/>
        <rFont val="細明體"/>
        <family val="3"/>
        <charset val="136"/>
      </rPr>
      <t>按鍵，放大圖片。</t>
    </r>
    <phoneticPr fontId="1" type="noConversion"/>
  </si>
  <si>
    <t>可能屬於新植/深剪/中剪的茶園，或前作狀態。</t>
    <phoneticPr fontId="1" type="noConversion"/>
  </si>
  <si>
    <r>
      <t xml:space="preserve"> </t>
    </r>
    <r>
      <rPr>
        <sz val="10"/>
        <color theme="1"/>
        <rFont val="細明體"/>
        <family val="3"/>
        <charset val="136"/>
      </rPr>
      <t>除可能有土壤和施肥方面的問題外，還可能存在病蟲害防治問題。</t>
    </r>
    <phoneticPr fontId="1" type="noConversion"/>
  </si>
  <si>
    <r>
      <rPr>
        <sz val="10"/>
        <color theme="1"/>
        <rFont val="細明體"/>
        <family val="3"/>
        <charset val="136"/>
      </rPr>
      <t>淺剪枝：定植後第五年起，每年冬季或為了調節產期而於春季後在距離去年剪枝面提高</t>
    </r>
    <r>
      <rPr>
        <sz val="10"/>
        <color theme="1"/>
        <rFont val="Times New Roman"/>
        <family val="1"/>
      </rPr>
      <t>3~5</t>
    </r>
    <r>
      <rPr>
        <sz val="10"/>
        <color theme="1"/>
        <rFont val="細明體"/>
        <family val="3"/>
        <charset val="136"/>
      </rPr>
      <t>公分處進行淺弧型之淺剪枝。同時應將暗弱枝條、病枝、枯枝一併剪除。
中剪枝：定植第</t>
    </r>
    <r>
      <rPr>
        <sz val="10"/>
        <color theme="1"/>
        <rFont val="Times New Roman"/>
        <family val="1"/>
      </rPr>
      <t>12</t>
    </r>
    <r>
      <rPr>
        <sz val="10"/>
        <color theme="1"/>
        <rFont val="細明體"/>
        <family val="3"/>
        <charset val="136"/>
      </rPr>
      <t>年至第</t>
    </r>
    <r>
      <rPr>
        <sz val="10"/>
        <color theme="1"/>
        <rFont val="Times New Roman"/>
        <family val="1"/>
      </rPr>
      <t>16</t>
    </r>
    <r>
      <rPr>
        <sz val="10"/>
        <color theme="1"/>
        <rFont val="細明體"/>
        <family val="3"/>
        <charset val="136"/>
      </rPr>
      <t>年左右未曾中剪枝或深剪枝，樹高又超過</t>
    </r>
    <r>
      <rPr>
        <sz val="10"/>
        <color theme="1"/>
        <rFont val="Times New Roman"/>
        <family val="1"/>
      </rPr>
      <t>90~100</t>
    </r>
    <r>
      <rPr>
        <sz val="10"/>
        <color theme="1"/>
        <rFont val="細明體"/>
        <family val="3"/>
        <charset val="136"/>
      </rPr>
      <t>公分影響採摘作業時，應進行中剪枝。約於</t>
    </r>
    <r>
      <rPr>
        <sz val="10"/>
        <color theme="1"/>
        <rFont val="Times New Roman"/>
        <family val="1"/>
      </rPr>
      <t>45~50</t>
    </r>
    <r>
      <rPr>
        <sz val="10"/>
        <color theme="1"/>
        <rFont val="細明體"/>
        <family val="3"/>
        <charset val="136"/>
      </rPr>
      <t>公分處進行水平型中剪枝，由較粗壯的枝條上發出強健新芽，使樹勢恢復。
深剪枝：數次中剪枝之後，如茶樹生長勢衰弱又無法利用剪枝恢復其樹勢時，則可進行深剪枝。深剪技之高度應離地面</t>
    </r>
    <r>
      <rPr>
        <sz val="10"/>
        <color theme="1"/>
        <rFont val="Times New Roman"/>
        <family val="1"/>
      </rPr>
      <t>20~30</t>
    </r>
    <r>
      <rPr>
        <sz val="10"/>
        <color theme="1"/>
        <rFont val="細明體"/>
        <family val="3"/>
        <charset val="136"/>
      </rPr>
      <t>公分（小葉種）或</t>
    </r>
    <r>
      <rPr>
        <sz val="10"/>
        <color theme="1"/>
        <rFont val="Times New Roman"/>
        <family val="1"/>
      </rPr>
      <t>40~45</t>
    </r>
    <r>
      <rPr>
        <sz val="10"/>
        <color theme="1"/>
        <rFont val="細明體"/>
        <family val="3"/>
        <charset val="136"/>
      </rPr>
      <t>公分（大葉種或生長勢稍佳者）處剪斷，應用鋸刀或深剪枝機，並確保刃口銳利，以免枝幹裂傷而影響新芽的萌發。
台刈：台刈則是恢復樹勢最後手段，離地</t>
    </r>
    <r>
      <rPr>
        <sz val="10"/>
        <color theme="1"/>
        <rFont val="Times New Roman"/>
        <family val="1"/>
      </rPr>
      <t>5</t>
    </r>
    <r>
      <rPr>
        <sz val="10"/>
        <color theme="1"/>
        <rFont val="細明體"/>
        <family val="3"/>
        <charset val="136"/>
      </rPr>
      <t>公分處將茶樹截斷，台刈後三年內可參照幼木茶園進行剪枝。</t>
    </r>
    <phoneticPr fontId="1" type="noConversion"/>
  </si>
  <si>
    <r>
      <rPr>
        <sz val="10"/>
        <color theme="1"/>
        <rFont val="細明體"/>
        <family val="3"/>
        <charset val="136"/>
      </rPr>
      <t>茶樹株高低於</t>
    </r>
    <r>
      <rPr>
        <sz val="10"/>
        <color theme="1"/>
        <rFont val="Times New Roman"/>
        <family val="1"/>
      </rPr>
      <t>30cm</t>
    </r>
    <r>
      <rPr>
        <sz val="10"/>
        <color theme="1"/>
        <rFont val="細明體"/>
        <family val="3"/>
        <charset val="136"/>
      </rPr>
      <t>？</t>
    </r>
    <phoneticPr fontId="1" type="noConversion"/>
  </si>
  <si>
    <t>N1000</t>
    <phoneticPr fontId="1" type="noConversion"/>
  </si>
  <si>
    <t>錳毒害。</t>
    <phoneticPr fontId="1" type="noConversion"/>
  </si>
  <si>
    <t>利用葉面施肥補充缺乏的微量元素。</t>
    <phoneticPr fontId="1" type="noConversion"/>
  </si>
  <si>
    <t>施用的有機或化學肥料應透過中耕與土壤充分混合。
。</t>
    <phoneticPr fontId="1" type="noConversion"/>
  </si>
  <si>
    <t>成熟葉從葉緣開始黃化，葉緣和葉尖處有斑點；葉片變形；嚴重時葉緣呈燒焦狀？</t>
    <phoneticPr fontId="1" type="noConversion"/>
  </si>
  <si>
    <r>
      <rPr>
        <sz val="10"/>
        <color theme="1"/>
        <rFont val="新細明體"/>
        <family val="1"/>
        <charset val="136"/>
      </rPr>
      <t>成熟葉黃化</t>
    </r>
    <r>
      <rPr>
        <sz val="10"/>
        <color theme="1"/>
        <rFont val="Times New Roman"/>
        <family val="1"/>
      </rPr>
      <t>/</t>
    </r>
    <r>
      <rPr>
        <sz val="10"/>
        <color theme="1"/>
        <rFont val="新細明體"/>
        <family val="1"/>
        <charset val="136"/>
      </rPr>
      <t>壞死區域與健康區域的界線很明顯？</t>
    </r>
    <phoneticPr fontId="1" type="noConversion"/>
  </si>
  <si>
    <t>成熟葉葉尖及葉緣黃化、燒焦、捲曲？</t>
    <phoneticPr fontId="1" type="noConversion"/>
  </si>
  <si>
    <t>成熟葉葉尖及葉緣黃化，有黃褐色斑塊？</t>
    <phoneticPr fontId="1" type="noConversion"/>
  </si>
  <si>
    <t>茶黃薊馬。</t>
    <phoneticPr fontId="1" type="noConversion"/>
  </si>
  <si>
    <t>棲於寄主植物葉片之下表，對許多寄主為害之徵狀多為葉片扭曲皺縮，隨之變為腫泡狀紋，被害植物停止生長終至死亡。</t>
    <phoneticPr fontId="1" type="noConversion"/>
  </si>
  <si>
    <r>
      <rPr>
        <sz val="10"/>
        <color theme="1"/>
        <rFont val="細明體"/>
        <family val="3"/>
        <charset val="136"/>
      </rPr>
      <t>成蟎及幼若蟎在幼嫩芽葉或成葉葉背吸食，受害嫩葉葉面，初期呈淡黃綠色斑點，受害嚴重時，葉變畸形，葉尖朝上，容易脫落。受害之老葉葉背則呈赤褐色，葉面光澤消失。在冬季時大部份棲息在茶叢內的老葉，隨早春氣溫上升及茶樹萌芽而遷移到幼葉為害。在新梢上危害以心芽往下第</t>
    </r>
    <r>
      <rPr>
        <sz val="10"/>
        <color theme="1"/>
        <rFont val="Times New Roman"/>
        <family val="1"/>
      </rPr>
      <t xml:space="preserve">1~2 </t>
    </r>
    <r>
      <rPr>
        <sz val="10"/>
        <color theme="1"/>
        <rFont val="細明體"/>
        <family val="3"/>
        <charset val="136"/>
      </rPr>
      <t>葉的密度最高。北部茶區以夏、秋兩季密度較高，春、冬較低；至於中南部則以秋、冬季較高，春季次之。夏季屬雨季，一旦下雨，密度急速下降。颱風侵襲也會使棲群密度下降。</t>
    </r>
    <phoneticPr fontId="1" type="noConversion"/>
  </si>
  <si>
    <t>多棲息於嫩葉背面，亦可棲息於幼梢及芽危害，受害部位具暗褐色細點，受害葉片向內捲曲。</t>
    <phoneticPr fontId="1" type="noConversion"/>
  </si>
  <si>
    <r>
      <rPr>
        <sz val="10"/>
        <color theme="1"/>
        <rFont val="細明體"/>
        <family val="3"/>
        <charset val="136"/>
      </rPr>
      <t>被害處形成黑褐色斑點，蟲體愈大，為害斑點愈大，其移動性及為害枝條數亦愈多。嚴重時被害芽停止生長且萎縮，甚至造成落葉。一天中以早晨及傍晚的活動較頻繁。一年中出現時期除冬季溫度較低時以成蟲越冬外，其餘時間均會危害茶樹，尤以</t>
    </r>
    <r>
      <rPr>
        <sz val="10"/>
        <color theme="1"/>
        <rFont val="Times New Roman"/>
        <family val="1"/>
      </rPr>
      <t xml:space="preserve"> 4~5 </t>
    </r>
    <r>
      <rPr>
        <sz val="10"/>
        <color theme="1"/>
        <rFont val="細明體"/>
        <family val="3"/>
        <charset val="136"/>
      </rPr>
      <t>月及</t>
    </r>
    <r>
      <rPr>
        <sz val="10"/>
        <color theme="1"/>
        <rFont val="Times New Roman"/>
        <family val="1"/>
      </rPr>
      <t xml:space="preserve"> 8~9 </t>
    </r>
    <r>
      <rPr>
        <sz val="10"/>
        <color theme="1"/>
        <rFont val="細明體"/>
        <family val="3"/>
        <charset val="136"/>
      </rPr>
      <t>月危害較為嚴重。</t>
    </r>
    <phoneticPr fontId="1" type="noConversion"/>
  </si>
  <si>
    <r>
      <rPr>
        <sz val="10"/>
        <color theme="1"/>
        <rFont val="細明體"/>
        <family val="3"/>
        <charset val="136"/>
      </rPr>
      <t>危害初期被害幼葉及嫩芽呈黃綠色，嚴重時茶芽捲縮不長，葉呈船形，葉緣變褐色，最後脫落。全臺各茶區全年均會發生，但以</t>
    </r>
    <r>
      <rPr>
        <sz val="10"/>
        <color theme="1"/>
        <rFont val="Times New Roman"/>
        <family val="1"/>
      </rPr>
      <t xml:space="preserve"> 5 </t>
    </r>
    <r>
      <rPr>
        <sz val="10"/>
        <color theme="1"/>
        <rFont val="細明體"/>
        <family val="3"/>
        <charset val="136"/>
      </rPr>
      <t>月至</t>
    </r>
    <r>
      <rPr>
        <sz val="10"/>
        <color theme="1"/>
        <rFont val="Times New Roman"/>
        <family val="1"/>
      </rPr>
      <t xml:space="preserve"> 7 </t>
    </r>
    <r>
      <rPr>
        <sz val="10"/>
        <color theme="1"/>
        <rFont val="細明體"/>
        <family val="3"/>
        <charset val="136"/>
      </rPr>
      <t>月發生最為嚴重，通風不良或雜草叢生的茶園更易受害。</t>
    </r>
    <phoneticPr fontId="1" type="noConversion"/>
  </si>
  <si>
    <t>主要以葉部為食，被害葉片葉背葉肉被啃食，僅留上表皮，呈透明狀；嚴重時，葉片被啃食僅剩葉柄及葉脈，造成許多大小不一之蟲孔。幼齡幼蟲常棲息於葉背，而四齡以後幼蟲日照強時，藏匿在土中或雜草間，黃昏之後即出來為害，化蛹時會潛入土中作土窩化蛹。</t>
    <phoneticPr fontId="1" type="noConversion"/>
  </si>
  <si>
    <r>
      <rPr>
        <sz val="10"/>
        <color theme="1"/>
        <rFont val="細明體"/>
        <family val="3"/>
        <charset val="136"/>
      </rPr>
      <t>最初於葉面主脈兩側危害，逐漸向兩側伸延而擴及全葉，受害葉葉面呈銹褐色，葉面上可見茶葉蹣所脫下的白色皮，嚴重時會落葉。於高溫乾旱的季節較易發生，</t>
    </r>
    <r>
      <rPr>
        <sz val="10"/>
        <color theme="1"/>
        <rFont val="Times New Roman"/>
        <family val="1"/>
      </rPr>
      <t xml:space="preserve">6 </t>
    </r>
    <r>
      <rPr>
        <sz val="10"/>
        <color theme="1"/>
        <rFont val="細明體"/>
        <family val="3"/>
        <charset val="136"/>
      </rPr>
      <t>至</t>
    </r>
    <r>
      <rPr>
        <sz val="10"/>
        <color theme="1"/>
        <rFont val="Times New Roman"/>
        <family val="1"/>
      </rPr>
      <t xml:space="preserve">9 </t>
    </r>
    <r>
      <rPr>
        <sz val="10"/>
        <color theme="1"/>
        <rFont val="細明體"/>
        <family val="3"/>
        <charset val="136"/>
      </rPr>
      <t>月蔓延最烈，但遇颱風驟雨，則密度降低很多。雌蟎棲息於老葉葉面並吐絲結網，於網下危害。</t>
    </r>
    <phoneticPr fontId="1" type="noConversion"/>
  </si>
  <si>
    <t>茶葉蟎。</t>
    <phoneticPr fontId="1" type="noConversion"/>
  </si>
  <si>
    <t>多寄生於葉片基部靠近葉柄處，逐漸向葉背全葉蔓延，被害葉背呈暗灰褐色，嫩葉呈黃褐色，嚴重時葉背呈黃褐色，葉片硬化向內曲折，終至落葉。危害幼木時，易使茶樹落葉，且有發育不良及枝條枯死等現象，不僅影響茶樹生育，亦間接影響產量，且茶樹容易衰老。</t>
    <phoneticPr fontId="1" type="noConversion"/>
  </si>
  <si>
    <t>錫蘭偽葉蟎。</t>
    <phoneticPr fontId="1" type="noConversion"/>
  </si>
  <si>
    <r>
      <rPr>
        <sz val="10"/>
        <color theme="1"/>
        <rFont val="細明體"/>
        <family val="3"/>
        <charset val="136"/>
      </rPr>
      <t>如果舊茶園曾經嚴重發生過，應在冬季剪枝後立即把剪除之枝葉集中燒毀，然後全面噴施殺蟎劑，防除越冬之害蟎。
為了使藥液能均勻接觸到葉背及茶叢內部，應盡量疏剪不必要或匍匐在地上之裙枝，噴藥時由下朝上或由茶從兩側向內噴藥，以提高防治效果。
使用殺蟎劑防治害蟎，不得使用非推薦之農藥或任意混合其他藥劑，更不可任意提高或降低使用濃度，以免發生藥害及引起不良後果。
為了安全起見防治茶樹害蟎，應著重</t>
    </r>
    <r>
      <rPr>
        <sz val="10"/>
        <color theme="1"/>
        <rFont val="Times New Roman"/>
        <family val="1"/>
      </rPr>
      <t>10</t>
    </r>
    <r>
      <rPr>
        <sz val="10"/>
        <color theme="1"/>
        <rFont val="細明體"/>
        <family val="3"/>
        <charset val="136"/>
      </rPr>
      <t>～</t>
    </r>
    <r>
      <rPr>
        <sz val="10"/>
        <color theme="1"/>
        <rFont val="Times New Roman"/>
        <family val="1"/>
      </rPr>
      <t>11</t>
    </r>
    <r>
      <rPr>
        <sz val="10"/>
        <color theme="1"/>
        <rFont val="細明體"/>
        <family val="3"/>
        <charset val="136"/>
      </rPr>
      <t>月及</t>
    </r>
    <r>
      <rPr>
        <sz val="10"/>
        <color theme="1"/>
        <rFont val="Times New Roman"/>
        <family val="1"/>
      </rPr>
      <t>2</t>
    </r>
    <r>
      <rPr>
        <sz val="10"/>
        <color theme="1"/>
        <rFont val="細明體"/>
        <family val="3"/>
        <charset val="136"/>
      </rPr>
      <t>月間進行防治，以確保春茶收穫量與品質。
有些殺蟎劑的殺卵效果較不理想，防治時最好每隔</t>
    </r>
    <r>
      <rPr>
        <sz val="10"/>
        <color theme="1"/>
        <rFont val="Times New Roman"/>
        <family val="1"/>
      </rPr>
      <t>10</t>
    </r>
    <r>
      <rPr>
        <sz val="10"/>
        <color theme="1"/>
        <rFont val="細明體"/>
        <family val="3"/>
        <charset val="136"/>
      </rPr>
      <t>日左右噴一次藥，連續噴施</t>
    </r>
    <r>
      <rPr>
        <sz val="10"/>
        <color theme="1"/>
        <rFont val="Times New Roman"/>
        <family val="1"/>
      </rPr>
      <t>2</t>
    </r>
    <r>
      <rPr>
        <sz val="10"/>
        <color theme="1"/>
        <rFont val="細明體"/>
        <family val="3"/>
        <charset val="136"/>
      </rPr>
      <t>次，可防治後來孵化之幼若蟎，但必須掌握安全採收期。
在使用機械方面，因茶芽伸長初期無法忍受強勁的風力，容易受到傷害，故使用半自動背囊式噴物器為宜；採茶後茶芽尚未長出前或冬季茶樹尚未萌芽時，以使用動力或高壓動力噴霧機為佳。
危害嚴重時，須同時清茶園內或週邊之雜草。
施行早</t>
    </r>
    <r>
      <rPr>
        <sz val="10"/>
        <color theme="1"/>
        <rFont val="Times New Roman"/>
        <family val="1"/>
      </rPr>
      <t>(</t>
    </r>
    <r>
      <rPr>
        <sz val="10"/>
        <color theme="1"/>
        <rFont val="細明體"/>
        <family val="3"/>
        <charset val="136"/>
      </rPr>
      <t>嫩</t>
    </r>
    <r>
      <rPr>
        <sz val="10"/>
        <color theme="1"/>
        <rFont val="Times New Roman"/>
        <family val="1"/>
      </rPr>
      <t>)</t>
    </r>
    <r>
      <rPr>
        <sz val="10"/>
        <color theme="1"/>
        <rFont val="細明體"/>
        <family val="3"/>
        <charset val="136"/>
      </rPr>
      <t>採，可減輕為害茶葉之蟎蜱類，如桔黃銹蟎、茶細蟎、神澤氏葉蟎等。
藥劑最好輪流交替使用，以免長期使用後產生抗藥性。
隨身攜帶放大鏡，經常到茶園就不同層次或老、嫩葉逢機取樣，檢查葉片，若發現有為害發生時，應適時用藥，千萬不可盲目使用藥劑。
倘若再過</t>
    </r>
    <r>
      <rPr>
        <sz val="10"/>
        <color theme="1"/>
        <rFont val="Times New Roman"/>
        <family val="1"/>
      </rPr>
      <t>10</t>
    </r>
    <r>
      <rPr>
        <sz val="10"/>
        <color theme="1"/>
        <rFont val="細明體"/>
        <family val="3"/>
        <charset val="136"/>
      </rPr>
      <t>日之內就要採茶，提前採茶，並施行嫩採此時雖然製茶品質略遜，但能有效抑制害蟎的迅速蔓延，採茶後即噴藥。以保護下回萌發茶芽之健全。
為了兼顧安全、有效的防治措施，避免不必要的用藥，保護田間天敵的生存繁殖，增加天敵的族群密度，增強其對害蟎之控制力量，避免因一時疏忽，造成危害嫩芽、葉之害蟎猖獗發生。</t>
    </r>
    <phoneticPr fontId="1" type="noConversion"/>
  </si>
  <si>
    <t>葉片背面佈滿各生長期之該蟲，狀似芝麻，而若蟲分泌之蜜露則誘發煤煙病，致使寄主植物枝葉變黑，阻礙光合作用的進行，樹勢因而衰弱。</t>
    <phoneticPr fontId="1" type="noConversion"/>
  </si>
  <si>
    <t>以成、若蟲吸食茶樹養液，受害枝條落葉枝枯，嚴重時茶樹枯死。</t>
    <phoneticPr fontId="1" type="noConversion"/>
  </si>
  <si>
    <t>茶捲葉蛾多為害成葉，吐絲將二至三片葉片綴在一起，棲於內面取食葉肉，留下表皮呈紅褐色。老熟幼蟲則在被害處化蛹。成蛾棲於葉背或葉面，黃昏後飛翔活動及交尾產卵。雌蛾將卵塊產在葉面，肉眼容易發現。</t>
    <phoneticPr fontId="1" type="noConversion"/>
  </si>
  <si>
    <t>全年田間均可見咖啡木蠹蛾各齡幼蟲危害茶樹，成蟲產卵於枝條縫隙或腋芽間，沿木質部周圍蛀食，造成一橫環食痕，環痕以上部分枯死，易受風吹而折斷，田間發現如受害枝條越粗，則幼蟲齡期越大，幼蟲有遷移習性。</t>
    <phoneticPr fontId="1" type="noConversion"/>
  </si>
  <si>
    <t>茶髮狀病是一種高溫、高濕型病害，在濕度大的茶園較容易發生。主要的傳染源為菌索，菌索是由許多菌絲聚合而成的，菌索外層的菌絲含有黑色色素，對不良環境具有很高的耐受能力，室內藥劑試驗，以數種殺菌劑處理後，菌索乃具相當高之活性。</t>
    <phoneticPr fontId="1" type="noConversion"/>
  </si>
  <si>
    <r>
      <rPr>
        <sz val="10"/>
        <color theme="1"/>
        <rFont val="細明體"/>
        <family val="3"/>
        <charset val="136"/>
      </rPr>
      <t>受害枝條上會直接長出許多細長黑色絲狀物，菌索可直接由罹病枝上長出，菌索遇固體，在接觸點長出金黃色的菌絲褥，緊密的附著其上吸取枝條的養分，以耗弱茶樹的樹勢。黑色菌索多生長在茶叢中上部位的枝條上，受害嚴重的茶樹，明顯可見枝條或葉片乾枯死亡，其上幾乎為黑色菌索所纏繞。發病初期茶樹生長不會明顯受影響，但罹病多年的茶樹則出現芽葉密度低、成葉變小、植株生長遲緩、產量降低及樹勢衰弱等現象</t>
    </r>
    <r>
      <rPr>
        <sz val="10"/>
        <color theme="1"/>
        <rFont val="細明體"/>
        <family val="3"/>
        <charset val="136"/>
      </rPr>
      <t>。菌索</t>
    </r>
    <r>
      <rPr>
        <sz val="10"/>
        <color theme="1"/>
        <rFont val="細明體"/>
        <family val="3"/>
        <charset val="136"/>
      </rPr>
      <t>為由菌絲間共用細胞壁而非常緊密的聚合在一起，外層的菌絲呈黑色，可以抵抗不良環境，在</t>
    </r>
    <r>
      <rPr>
        <sz val="10"/>
        <color theme="1"/>
        <rFont val="Times New Roman"/>
        <family val="1"/>
      </rPr>
      <t xml:space="preserve">6 </t>
    </r>
    <r>
      <rPr>
        <sz val="10"/>
        <color theme="1"/>
        <rFont val="細明體"/>
        <family val="3"/>
        <charset val="136"/>
      </rPr>
      <t>至</t>
    </r>
    <r>
      <rPr>
        <sz val="10"/>
        <color theme="1"/>
        <rFont val="Times New Roman"/>
        <family val="1"/>
      </rPr>
      <t xml:space="preserve">9 </t>
    </r>
    <r>
      <rPr>
        <sz val="10"/>
        <color theme="1"/>
        <rFont val="細明體"/>
        <family val="3"/>
        <charset val="136"/>
      </rPr>
      <t>月間菌索會產生子實體</t>
    </r>
    <r>
      <rPr>
        <sz val="10"/>
        <color theme="1"/>
        <rFont val="Times New Roman"/>
        <family val="1"/>
      </rPr>
      <t>(</t>
    </r>
    <r>
      <rPr>
        <sz val="10"/>
        <color theme="1"/>
        <rFont val="細明體"/>
        <family val="3"/>
        <charset val="136"/>
      </rPr>
      <t>菇體</t>
    </r>
    <r>
      <rPr>
        <sz val="10"/>
        <color theme="1"/>
        <rFont val="Times New Roman"/>
        <family val="1"/>
      </rPr>
      <t>)</t>
    </r>
    <r>
      <rPr>
        <sz val="10"/>
        <color theme="1"/>
        <rFont val="細明體"/>
        <family val="3"/>
        <charset val="136"/>
      </rPr>
      <t>。</t>
    </r>
    <phoneticPr fontId="1" type="noConversion"/>
  </si>
  <si>
    <t>發病輕微的茶園應徹底的剪除罹病枝條，剪枝後應同時噴藥，以防止病菌再入侵。
發病嚴重的茶樹可進行台刈，並逐一清除老枝條基部的病灶；枯死的茶樹應徹底挖除，並進行全面施藥，此時防治效果恐已事倍功半。剪除或挖除之枯死枝、葉曬乾後應立即燒毀。
可分別選用84.2%三得芬乳劑1000倍、33.5%快得寧水懸劑1000倍、或81.3%嘉賜銅可濕性粉劑1000倍來防治。
發病嚴重的地區種植抗病品種。
夏季若遇乾旱應進行滴灌，發病之茶園在冬季茶樹休眠期，應再進行一次剪除病枝之工作。</t>
    <phoneticPr fontId="1" type="noConversion"/>
  </si>
  <si>
    <t>發生於枝葉上，產生毛狀或絨毛狀的褐色、黑色的覆蓋物，容易剝離，並不為害茶組織，但阻礙葉片光合作用及呼吸作用，影響樹勢。病菌以茶園介殼蟲、蚜蟲、粉蝨等害蟲所分泌的蜜露為養分而繁殖。</t>
    <phoneticPr fontId="1" type="noConversion"/>
  </si>
  <si>
    <r>
      <rPr>
        <sz val="10"/>
        <color theme="1"/>
        <rFont val="細明體"/>
        <family val="3"/>
        <charset val="136"/>
      </rPr>
      <t xml:space="preserve">綠色頭孢藻的最初感染來源為游走孢子，遇濕即自游走孢子囊中釋放，藉鞭毛於葉表水膜中運動自表皮侵入，於下表皮層形成入侵藻絲及子座，上表皮則於後期產生多量的藻絲，藻絲發育形成孢子囊梗及游走孢子囊梗及游走孢子囊，內有游走孢子。除此外，也可藉雨水沖打病斑，使游走孢子囊脫落，傳播藻斑病。另一種引起藻斑病的綠藻其生活史未明。
</t>
    </r>
    <r>
      <rPr>
        <sz val="10"/>
        <color theme="1"/>
        <rFont val="細明體"/>
        <family val="3"/>
        <charset val="136"/>
      </rPr>
      <t>藻斑病主要感染時期一般在雨季，南部即梅雨季節</t>
    </r>
    <r>
      <rPr>
        <sz val="10"/>
        <color theme="1"/>
        <rFont val="Times New Roman"/>
        <family val="1"/>
      </rPr>
      <t>4</t>
    </r>
    <r>
      <rPr>
        <sz val="10"/>
        <color theme="1"/>
        <rFont val="細明體"/>
        <family val="3"/>
        <charset val="136"/>
      </rPr>
      <t>～</t>
    </r>
    <r>
      <rPr>
        <sz val="10"/>
        <color theme="1"/>
        <rFont val="Times New Roman"/>
        <family val="1"/>
      </rPr>
      <t>6</t>
    </r>
    <r>
      <rPr>
        <sz val="10"/>
        <color theme="1"/>
        <rFont val="細明體"/>
        <family val="3"/>
        <charset val="136"/>
      </rPr>
      <t>月時；中部夏季發生多，但入秋</t>
    </r>
    <r>
      <rPr>
        <sz val="10"/>
        <color theme="1"/>
        <rFont val="Times New Roman"/>
        <family val="1"/>
      </rPr>
      <t>10</t>
    </r>
    <r>
      <rPr>
        <sz val="10"/>
        <color theme="1"/>
        <rFont val="細明體"/>
        <family val="3"/>
        <charset val="136"/>
      </rPr>
      <t>月後因氣候轉涼及乾燥，藻斑病發生降低或完全消失。若果園位於氣候特殊地區，例如山窪通風不良區、密植、或果緣相對濕度較高，藻斑病全年可以存在。</t>
    </r>
    <phoneticPr fontId="1" type="noConversion"/>
  </si>
  <si>
    <t>罹病植株最初於受感染根系之地上部出現茶芽新梢抽出變少，葉色褪綠、葉片易黃化、提早落葉之現象，以後茶欉逐漸出現枝葉稀疏、樹勢衰弱之慢性萎凋病徵，若此期間遇到環境逆境衝擊，則茶欉迅速出現青枯狀之急性病徵。
溼度高時，常可發現罹病組織上覆蓋一層白色羽毛狀菌絲，並蔓延至主根上或附近土壤中，挖開罹病茶樹之根部，常可見根皮有腐爛現象，病情嚴重時茶欉地際部亦可見到白色棉狀菌絲附著，而溼度降低時白色棉狀菌絲常轉變為灰白色；被害根部之表皮與木質部之間變得鬆散且極易剝離，其內常可見本病病原菌之典型白色扇骨狀菌絲存在。
隨著病勢繼續擴展至根際部時，茶樹因根際部皮層受害，造成環剝效應而導致茶欉全株萎凋枯死，罹病植株枯死一段時間後，地際部份會產生黑色剛毛狀、頭部有白色膨大構造之無性世代構造，可作為茶白紋羽病診斷之依據之一。</t>
    <phoneticPr fontId="1" type="noConversion"/>
  </si>
  <si>
    <t>在台灣白紋羽病多發生在中北部高冷地區，喜冷涼、潮濕的環境，台灣平地茶園極少發生，只在少數高山茶園被發現。其傳播的方式是藉由病根與健根的接觸而傳染；田間病害發生的模式是以罹病株為中心，向外作輻射狀的擴散，在無寄主的狀態下，病原菌可附著在有機物上存活很久。</t>
    <phoneticPr fontId="1" type="noConversion"/>
  </si>
  <si>
    <t>大部分線蟲多危害茶樹的根部，造成根系生長不良，使得地上部的植株矮化、葉片變小或黃化、多花等現象；而根瘤線蟲除了引起上述徵狀外，根系會長出根瘤，嚴重時使得茶樹根群褐變死亡。
平地茶園的密度較山坡地茶園為高。</t>
    <phoneticPr fontId="1" type="noConversion"/>
  </si>
  <si>
    <r>
      <t>Yes</t>
    </r>
    <r>
      <rPr>
        <sz val="10"/>
        <color theme="1"/>
        <rFont val="微軟正黑體"/>
        <family val="1"/>
        <charset val="136"/>
      </rPr>
      <t>診斷</t>
    </r>
    <phoneticPr fontId="1" type="noConversion"/>
  </si>
  <si>
    <t>Main Branch 1: Site Evaluation</t>
    <phoneticPr fontId="1" type="noConversion"/>
  </si>
  <si>
    <t>無人機影像顯示茶樹生長狀況有不均一的現象？</t>
    <phoneticPr fontId="1" type="noConversion"/>
  </si>
  <si>
    <t>無人機影像顯示茶樹生長狀況有不均一的現象。</t>
    <phoneticPr fontId="1" type="noConversion"/>
  </si>
  <si>
    <r>
      <t>15</t>
    </r>
    <r>
      <rPr>
        <sz val="10"/>
        <color theme="1"/>
        <rFont val="細明體"/>
        <family val="3"/>
        <charset val="136"/>
      </rPr>
      <t>年內茶園，但曾被深剪</t>
    </r>
    <r>
      <rPr>
        <sz val="10"/>
        <color theme="1"/>
        <rFont val="Times New Roman"/>
        <family val="1"/>
      </rPr>
      <t>/</t>
    </r>
    <r>
      <rPr>
        <sz val="10"/>
        <color theme="1"/>
        <rFont val="細明體"/>
        <family val="3"/>
        <charset val="136"/>
      </rPr>
      <t>中剪。</t>
    </r>
    <phoneticPr fontId="1" type="noConversion"/>
  </si>
  <si>
    <t>冬季(12~2月)是台灣中南部茶區的旱季，日期以藍色字體顯示。
若在非旱季期間，茶園NDVI仍有低於0.5的狀況(黃色到紅色)，則該茶園當時可能是處於新植(樹齡&lt;3年)/深剪/中剪或其它前作的狀態。</t>
    <phoneticPr fontId="1" type="noConversion"/>
  </si>
  <si>
    <t>茶園內NDWI指數沒有不均一的現象。</t>
    <phoneticPr fontId="1" type="noConversion"/>
  </si>
  <si>
    <r>
      <t>NDVI</t>
    </r>
    <r>
      <rPr>
        <sz val="10"/>
        <color theme="1"/>
        <rFont val="細明體"/>
        <family val="3"/>
        <charset val="136"/>
      </rPr>
      <t>指數可反映植叢茂密的程度，</t>
    </r>
    <r>
      <rPr>
        <sz val="10"/>
        <color theme="1"/>
        <rFont val="Times New Roman"/>
        <family val="1"/>
      </rPr>
      <t>NDVI</t>
    </r>
    <r>
      <rPr>
        <sz val="10"/>
        <color theme="1"/>
        <rFont val="細明體"/>
        <family val="3"/>
        <charset val="136"/>
      </rPr>
      <t>指數值越大，代表葉面積指數</t>
    </r>
    <r>
      <rPr>
        <sz val="10"/>
        <color theme="1"/>
        <rFont val="Times New Roman"/>
        <family val="1"/>
      </rPr>
      <t>(LAI)</t>
    </r>
    <r>
      <rPr>
        <sz val="10"/>
        <color theme="1"/>
        <rFont val="細明體"/>
        <family val="3"/>
        <charset val="136"/>
      </rPr>
      <t>越大。
一般茶園的</t>
    </r>
    <r>
      <rPr>
        <sz val="10"/>
        <color theme="1"/>
        <rFont val="Times New Roman"/>
        <family val="1"/>
      </rPr>
      <t>NDVI</t>
    </r>
    <r>
      <rPr>
        <sz val="10"/>
        <color theme="1"/>
        <rFont val="細明體"/>
        <family val="3"/>
        <charset val="136"/>
      </rPr>
      <t>值約介於</t>
    </r>
    <r>
      <rPr>
        <sz val="10"/>
        <color theme="1"/>
        <rFont val="Times New Roman"/>
        <family val="1"/>
      </rPr>
      <t>0.5~0.75</t>
    </r>
    <r>
      <rPr>
        <sz val="10"/>
        <color theme="1"/>
        <rFont val="細明體"/>
        <family val="3"/>
        <charset val="136"/>
      </rPr>
      <t>間；裸露地的</t>
    </r>
    <r>
      <rPr>
        <sz val="10"/>
        <color theme="1"/>
        <rFont val="Times New Roman"/>
        <family val="1"/>
      </rPr>
      <t xml:space="preserve">NDVI&lt;0.3; </t>
    </r>
    <r>
      <rPr>
        <sz val="10"/>
        <color theme="1"/>
        <rFont val="細明體"/>
        <family val="3"/>
        <charset val="136"/>
      </rPr>
      <t>水體的</t>
    </r>
    <r>
      <rPr>
        <sz val="10"/>
        <color theme="1"/>
        <rFont val="Times New Roman"/>
        <family val="1"/>
      </rPr>
      <t>NDVI&lt;0</t>
    </r>
    <r>
      <rPr>
        <sz val="10"/>
        <color theme="1"/>
        <rFont val="細明體"/>
        <family val="3"/>
        <charset val="136"/>
      </rPr>
      <t>。</t>
    </r>
    <phoneticPr fontId="1" type="noConversion"/>
  </si>
  <si>
    <r>
      <rPr>
        <sz val="10"/>
        <color theme="1"/>
        <rFont val="細明體"/>
        <family val="3"/>
        <charset val="136"/>
      </rPr>
      <t>檢視該茶園在藍色字體日期是否有局部地區</t>
    </r>
    <r>
      <rPr>
        <sz val="10"/>
        <color theme="1"/>
        <rFont val="Times New Roman"/>
        <family val="1"/>
      </rPr>
      <t>NDVI&gt;0.9(</t>
    </r>
    <r>
      <rPr>
        <sz val="10"/>
        <color theme="1"/>
        <rFont val="細明體"/>
        <family val="3"/>
        <charset val="136"/>
      </rPr>
      <t>深藍到紫色</t>
    </r>
    <r>
      <rPr>
        <sz val="10"/>
        <color theme="1"/>
        <rFont val="Times New Roman"/>
        <family val="1"/>
      </rPr>
      <t>)</t>
    </r>
    <r>
      <rPr>
        <sz val="10"/>
        <color theme="1"/>
        <rFont val="細明體"/>
        <family val="3"/>
        <charset val="136"/>
      </rPr>
      <t>。</t>
    </r>
    <phoneticPr fontId="1" type="noConversion"/>
  </si>
  <si>
    <r>
      <t>NDWI</t>
    </r>
    <r>
      <rPr>
        <sz val="10"/>
        <color theme="1"/>
        <rFont val="細明體"/>
        <family val="3"/>
        <charset val="136"/>
      </rPr>
      <t>可反映茶樹缺水的程度。</t>
    </r>
    <r>
      <rPr>
        <sz val="10"/>
        <color theme="1"/>
        <rFont val="Times New Roman"/>
        <family val="1"/>
      </rPr>
      <t>NDWI</t>
    </r>
    <r>
      <rPr>
        <sz val="10"/>
        <color theme="1"/>
        <rFont val="細明體"/>
        <family val="3"/>
        <charset val="136"/>
      </rPr>
      <t>指數值越大，代表缺水程度較不嚴重。
一般茶園的</t>
    </r>
    <r>
      <rPr>
        <sz val="10"/>
        <color theme="1"/>
        <rFont val="Times New Roman"/>
        <family val="1"/>
      </rPr>
      <t>NDWI</t>
    </r>
    <r>
      <rPr>
        <sz val="10"/>
        <color theme="1"/>
        <rFont val="細明體"/>
        <family val="3"/>
        <charset val="136"/>
      </rPr>
      <t>值約介於</t>
    </r>
    <r>
      <rPr>
        <sz val="10"/>
        <color theme="1"/>
        <rFont val="Times New Roman"/>
        <family val="1"/>
      </rPr>
      <t>0.2~0.3</t>
    </r>
    <r>
      <rPr>
        <sz val="10"/>
        <color theme="1"/>
        <rFont val="細明體"/>
        <family val="3"/>
        <charset val="136"/>
      </rPr>
      <t>間</t>
    </r>
    <r>
      <rPr>
        <sz val="10"/>
        <color theme="1"/>
        <rFont val="細明體"/>
        <family val="3"/>
        <charset val="136"/>
      </rPr>
      <t>。</t>
    </r>
    <phoneticPr fontId="1" type="noConversion"/>
  </si>
  <si>
    <r>
      <rPr>
        <sz val="10"/>
        <color theme="1"/>
        <rFont val="新細明體"/>
        <family val="1"/>
        <charset val="136"/>
      </rPr>
      <t>冬季期間</t>
    </r>
    <r>
      <rPr>
        <sz val="10"/>
        <color theme="1"/>
        <rFont val="Times New Roman"/>
        <family val="1"/>
      </rPr>
      <t>NDVI&lt;0.9</t>
    </r>
    <r>
      <rPr>
        <sz val="10"/>
        <color theme="1"/>
        <rFont val="新細明體"/>
        <family val="1"/>
        <charset val="136"/>
      </rPr>
      <t>。</t>
    </r>
    <phoneticPr fontId="1" type="noConversion"/>
  </si>
  <si>
    <t>株高低於膝蓋，代表株高約低於30cm。</t>
    <phoneticPr fontId="1" type="noConversion"/>
  </si>
  <si>
    <t>可考慮透過深剪枝方式，重新提升株高，並修整株型。</t>
    <phoneticPr fontId="1" type="noConversion"/>
  </si>
  <si>
    <r>
      <t xml:space="preserve"> </t>
    </r>
    <r>
      <rPr>
        <sz val="10"/>
        <color theme="1"/>
        <rFont val="細明體"/>
        <family val="3"/>
        <charset val="136"/>
      </rPr>
      <t>正常茶園所有茶樹的樹高、樹冠範圍應該相當一致。
若有特別小的植株，可能是補植的結果，應該問茶農補植的原因。</t>
    </r>
    <phoneticPr fontId="1" type="noConversion"/>
  </si>
  <si>
    <t>請參考案例相片。</t>
  </si>
  <si>
    <t>曾發生過NDWI&lt;0的狀況？</t>
    <phoneticPr fontId="1" type="noConversion"/>
  </si>
  <si>
    <t>成熟葉從葉緣向葉脈間黃化，但葉緣處無斑點？</t>
    <phoneticPr fontId="1" type="noConversion"/>
  </si>
  <si>
    <t xml:space="preserve">茶樹需氮量最多，除了為葉綠素的主要成分外，蛋白質、核酸、磷脂、多種維生素、咖啡鹼、激素、酶等許多重要的有機物都含有氮素，此外構成香氣及滋味的氨基酸、茶多酚、醯氨等全是氮化合物。因此氮的施用與茶菁的收穫量及品質關係密切，茶農為了本身的收益，會定期補充氮素，所以一般正常管理的茶園，不易發生缺氮的問題，反是施氮量過多，引起茶菁製茶品質劣變的例子較多。
</t>
    <phoneticPr fontId="1" type="noConversion"/>
  </si>
  <si>
    <t>磷在植物體內之移動性大，缺乏症先出現在老葉。
缺磷初期，茶樹生長遲緩，由於不影響葉綠素之形成，故使葉片呈深綠色，但茶菁產量及品質下降。接著吸收根提早木質化，逐漸變成紅褐色，吸收能力減退，根系生長受阻，葉柄甚至葉片出現暗紅色，並很快失去光澤，成為暗綠或暗紅色的老葉，如果花青素之合成增加，則會呈現紫色。冬季徵狀加劇，新葉幼嫩時期甚短，容易成為對口葉，嫩葉可由暗紅轉為黃白色。長期缺磷的植株，莖葉生長緩慢，分枝少，植株矮化，花果少甚至沒有花和果，與一般矮化植株多花多果的現象相反。
由於缺磷會讓細胞分裂減弱，特別是易引起根毛減少，影響其他元素的吸收，所以易產生與其他元素缺乏徵狀混雜的現象，宜經由形態特徵與土壤檢測合併考量。雖然茶樹需磷量較需氮、鉀量為少，不過若長期嚴重缺磷，即使施用磷肥也很難恢復，所以每年仍須施用。</t>
    <phoneticPr fontId="1" type="noConversion"/>
  </si>
  <si>
    <t xml:space="preserve">磷為細胞中核酸、核苷酸、核蛋白、磷脂類、酶與輔酶的重要成份，與光合作用、呼吸作用、碳水化合物的代謝運轉及能量轉移關係密切，在代謝旺盛的幼嫩組織含量特別高。磷既是構成茶樹細胞核的重要元素，就會在老細胞固定累積，作為輔酶或酶輔基的部分，可由老器官轉移到新器官再利用。
</t>
    <phoneticPr fontId="1" type="noConversion"/>
  </si>
  <si>
    <t xml:space="preserve">鎂主要存在幼嫩的器官和組織，樹體中鎂的含量以根部較高，芽葉次之，枝幹較低。鎂構成葉綠素的核心部分，直接參與光合作用和磷酸化過程，並為有效的酶催化劑，為可在樹體內運轉的元素。
</t>
    <phoneticPr fontId="1" type="noConversion"/>
  </si>
  <si>
    <t>氮嚴重缺乏會導致老葉掉落，但不一定代表施肥不足，很可能是因為根系吸收能力差所導致。。
一般正常管理的茶園，不易發生缺氮的問題。不過茶樹會因管理不善而引發植體缺氧、高溫乾旱、病蟲危害、肥傷、藥傷或長期疏於管理等，這些都會先造成落葉與根部受損，使原樹種可貯藏養份轉移的組織大幅減少，造成新萌的嫩梢展現缺氮現象，氮素缺乏會使蛋白質與葉綠素合成受阻，新生嫩葉出現土黃色，但因植體內氮的可移動性高，數日後則可由母葉、枝條與根部等部位轉入，新葉則逐漸轉為翠綠，母葉因氮的移出，而由翠綠轉成無光澤之土綠色，並隨著新梢生長量的增加，使氮素的移出量也增多，母葉再逐漸轉為土黃色，交雜橙色或紅紫色，最後脫落。缺氮嚴重時，新葉細而尖，葉尖或葉緣發生枯班，新枝則細弱光裸，生長甚慢，早現對口葉，甚至產生頂枯現象。</t>
    <phoneticPr fontId="1" type="noConversion"/>
  </si>
  <si>
    <t xml:space="preserve">鉀在樹體內呈離子狀態存在，主要是維持細胞膨壓，緩衝體內的有機酸，增強茶樹的抗逆性，所以茶樹的需鉀量僅次於氮素。鉀在樹體內參與催化細胞內多種酶的生化反應，如幫助糖分的運轉，使光合作用順利運行，提高光能的利用率；缺鉀時，光合作用受到抑制，呼吸作用增強，澱粉及脂肪酸都不能合成。由於鉀不為細胞的結構成份，不會被固定下來，所以離子態的鉀可以由老器官轉移到新器官，因此葉齡越小，鉀含量越高，葉齡越大，鉀含量越低。
</t>
    <phoneticPr fontId="1" type="noConversion"/>
  </si>
  <si>
    <t>鎂是葉綠素之組成分，缺乏時葉綠素無法合成，故呈現黃色。
鎂在植物體內之移動性大，茶樹缺鎂時，徵狀首先出現在較老的葉片上，然後逐漸發展至幼葉，最明顯之徵狀為葉片出現黃色斑紋，黃化自邊緣向中脈逐漸擴展，故中脈附近仍保持狹長綠色，自葉尖向下而略增闊，葉緣成扭曲狀，嚴重者自葉之邊緣向內逐漸枯乾，終而脫落，此明顯不同於缺鈣或缺鉀者。</t>
    <phoneticPr fontId="1" type="noConversion"/>
  </si>
  <si>
    <t>鉀是構成細胞滲透勢的重要成分，調節氣孔的開閉和水分運輸。
茶樹缺鉀時，因光合作用降低，新葉形成減少，莖的發育變慢，分枝稀疏瘦小，茶菁的產量與品質下降。鉀的移動性尚可，正常情形下，缺鉀症最先表現在新成熟的葉片上，嚴重缺乏時新萌的嫩葉很快地褪綠，由葉緣向內漸成淡黃色，葉片細小而薄，節間短縮，及早形成對口葉，葉脈及葉柄逐步變粉紅色，老葉葉尖變黃，並逐步向基部擴大，葉片邊緣向上或向下捲曲，葉質變脆，提早落葉；缺鉀最明顯的症狀為近葉緣的葉脈由淡黃色轉變為茶褐色或褐色，呈銹色斑塊，即為鉀焦。缺鉀的茶樹易感染病蟲害，易受霜凍成黑紫色。</t>
    <phoneticPr fontId="1" type="noConversion"/>
  </si>
  <si>
    <t>鈣是細胞壁和細胞分裂所必需的成分。在植物體內之移動性是所有無機營養元素中最小者，故缺乏症先出現在新葉，尤其是生長點。其特徵是生長點無法正常發育，通常形成扭曲。又因細胞膜無法維持完整，許多分解性酵素釋出，造成細胞褐變。細胞壁之結構受到影響，易受破壞。
茶樹缺鈣時，植株根系變少，根尖端停止伸長，組織呈半透明狀，雖然產生側根，但很快死去，根毛畸變成鱗莖狀。地上部症狀先從幼葉發生，急速生長的幼葉開始黃化，葉尖及隨後葉緣生長受阻，但卻因葉片中部繼續生長而造成葉片扭曲，病部繼而壞死，莖頂生長點死亡，頂芽優勢盡失；老葉產生黃化與枯斑狀，但沿葉脈則仍呈綠色，為厚度依然正常。</t>
    <phoneticPr fontId="1" type="noConversion"/>
  </si>
  <si>
    <r>
      <rPr>
        <sz val="10"/>
        <color theme="1"/>
        <rFont val="細明體"/>
        <family val="3"/>
        <charset val="136"/>
      </rPr>
      <t>鈣是酶的成分，又能催化酶的活性，為構成細胞壁中膠層，維持染色體和膜的結構，促進鉀離子與陰離子的吸收，及光合產物運轉，防止金屬離子的毒害，延遲植株衰老，為茶樹根毛與根系發育所必須的元素。由於為細胞壁的重要結構，因此被固定累積下來，所以不能被新器官再利用。
茶樹為嫌鈣型作物，對鈣的需求較一般作物低很多，當土壤可交換性鈣含量大於</t>
    </r>
    <r>
      <rPr>
        <sz val="10"/>
        <color theme="1"/>
        <rFont val="Times New Roman"/>
        <family val="1"/>
      </rPr>
      <t>800ppm</t>
    </r>
    <r>
      <rPr>
        <sz val="10"/>
        <color theme="1"/>
        <rFont val="細明體"/>
        <family val="3"/>
        <charset val="136"/>
      </rPr>
      <t>即超過茶樹生長需求，若超過</t>
    </r>
    <r>
      <rPr>
        <sz val="10"/>
        <color theme="1"/>
        <rFont val="Times New Roman"/>
        <family val="1"/>
      </rPr>
      <t>1,600ppm</t>
    </r>
    <r>
      <rPr>
        <sz val="10"/>
        <color theme="1"/>
        <rFont val="細明體"/>
        <family val="3"/>
        <charset val="136"/>
      </rPr>
      <t xml:space="preserve">時，將會造成茶樹嚴重的生長障礙，新根難以形成，根系逐漸回枯，地上部生長停頓；高鈣發生早期，植株開花量增多，之後因生長逐年衰弱，開花量亦減少，完全缺乏經濟生產價值。
</t>
    </r>
    <phoneticPr fontId="1" type="noConversion"/>
  </si>
  <si>
    <r>
      <rPr>
        <sz val="10"/>
        <color theme="1"/>
        <rFont val="細明體"/>
        <family val="3"/>
        <charset val="136"/>
      </rPr>
      <t>由於茶樹所需的交換性鈣遠較一般作物低很多，所以茶園發生鈣過量的實例屢見不鮮，但缺鈣的例子卻少有。一但檢出茶園土壤鈣含量過高，輕微者可在根群施用堆肥製作的有機酸</t>
    </r>
    <r>
      <rPr>
        <sz val="10"/>
        <color theme="1"/>
        <rFont val="Times New Roman"/>
        <family val="1"/>
      </rPr>
      <t>(</t>
    </r>
    <r>
      <rPr>
        <sz val="10"/>
        <color theme="1"/>
        <rFont val="細明體"/>
        <family val="3"/>
        <charset val="136"/>
      </rPr>
      <t>未人工添加鈣者</t>
    </r>
    <r>
      <rPr>
        <sz val="10"/>
        <color theme="1"/>
        <rFont val="Times New Roman"/>
        <family val="1"/>
      </rPr>
      <t>)</t>
    </r>
    <r>
      <rPr>
        <sz val="10"/>
        <color theme="1"/>
        <rFont val="細明體"/>
        <family val="3"/>
        <charset val="136"/>
      </rPr>
      <t>或酸性肥料如硫酸鉀等來酸化土壤，取代交換性鈣離子，或施用有機質來緩衝鈣的毒性，促進根毛生長，嚴重者建議直接轉作。所以若未經過土壤檢定確認前，茶園不但要慎施含鈣肥料，連客土都要嚴防避免屋基、墳地、窯址等受石灰污染的土壤。</t>
    </r>
    <phoneticPr fontId="1" type="noConversion"/>
  </si>
  <si>
    <t>株高太低可能由於幼株太早被採收和修剪，導致可向底土發展的直根和支根不多，根系主要集中在表土。葉片小且少，茶菁產量應該不高。</t>
    <phoneticPr fontId="1" type="noConversion"/>
  </si>
  <si>
    <t>可能有灌溉水缺乏、灌溉不均勻、根系或土層太淺問題。</t>
    <phoneticPr fontId="1" type="noConversion"/>
  </si>
  <si>
    <r>
      <rPr>
        <sz val="10"/>
        <color theme="1"/>
        <rFont val="細明體"/>
        <family val="3"/>
        <charset val="136"/>
      </rPr>
      <t>檢視茶園內是否有局部地區</t>
    </r>
    <r>
      <rPr>
        <sz val="10"/>
        <color theme="1"/>
        <rFont val="Times New Roman"/>
        <family val="1"/>
      </rPr>
      <t>NDWI&lt;0(</t>
    </r>
    <r>
      <rPr>
        <sz val="10"/>
        <color theme="1"/>
        <rFont val="細明體"/>
        <family val="3"/>
        <charset val="136"/>
      </rPr>
      <t>紅色</t>
    </r>
    <r>
      <rPr>
        <sz val="10"/>
        <color theme="1"/>
        <rFont val="Times New Roman"/>
        <family val="1"/>
      </rPr>
      <t>)</t>
    </r>
    <r>
      <rPr>
        <sz val="10"/>
        <color theme="1"/>
        <rFont val="細明體"/>
        <family val="3"/>
        <charset val="136"/>
      </rPr>
      <t>。</t>
    </r>
    <phoneticPr fontId="1" type="noConversion"/>
  </si>
  <si>
    <t>該茶園NDWI指數分佈有明顯的空間變異？</t>
    <phoneticPr fontId="1" type="noConversion"/>
  </si>
  <si>
    <r>
      <rPr>
        <sz val="10"/>
        <color theme="1"/>
        <rFont val="新細明體"/>
        <family val="1"/>
        <charset val="136"/>
      </rPr>
      <t>冬季期間</t>
    </r>
    <r>
      <rPr>
        <sz val="10"/>
        <color theme="1"/>
        <rFont val="Times New Roman"/>
        <family val="1"/>
      </rPr>
      <t>NDVI&gt;0.9</t>
    </r>
    <r>
      <rPr>
        <sz val="10"/>
        <color theme="1"/>
        <rFont val="新細明體"/>
        <family val="1"/>
        <charset val="136"/>
      </rPr>
      <t>？</t>
    </r>
    <phoneticPr fontId="1" type="noConversion"/>
  </si>
  <si>
    <t>檢查冬季期間NDVI&gt;0.9處的土壤pH值。</t>
    <phoneticPr fontId="1" type="noConversion"/>
  </si>
  <si>
    <t>檢視該茶園NDVI&lt;0.5(黃色到紅色)的區域是否僅出現於藍色字體日期。</t>
    <phoneticPr fontId="1" type="noConversion"/>
  </si>
  <si>
    <t>可能有灌溉不均勻、根系太淺或土層太淺問題。</t>
    <phoneticPr fontId="1" type="noConversion"/>
  </si>
  <si>
    <t>檢視NDVI&lt;0.5(黃色到紅色處)是否有灌溉水缺乏、灌溉不均勻、根系或土層太淺問題。</t>
    <phoneticPr fontId="1" type="noConversion"/>
  </si>
  <si>
    <t>應進行病蟲害診斷，確認可能之病蟲害種類。
應比較病蟲害明顯和不明顯處，植株性狀和土壤性質間的差異，並詢問農民原因。</t>
    <phoneticPr fontId="1" type="noConversion"/>
  </si>
  <si>
    <t>應進行問題土壤診斷，比較生長好和生長不好處，植株性狀和土壤性質間的差異，並詢問農民原因。</t>
    <phoneticPr fontId="1" type="noConversion"/>
  </si>
  <si>
    <t>應進行問題土壤診斷，比較生長好和生長不好處，植株性狀和土壤性質間的差異，並詢問農民原因。</t>
    <phoneticPr fontId="1" type="noConversion"/>
  </si>
  <si>
    <t>應進行問題土壤診斷，比較NDWI指數高和低處，植株性狀和土壤性質間的差異，並詢問農民原因。</t>
    <phoneticPr fontId="1" type="noConversion"/>
  </si>
  <si>
    <t>檢視NDWI&lt;0(紅色)處是否有灌溉水缺乏、灌溉不均勻、根系或土層太淺問題。</t>
    <phoneticPr fontId="1" type="noConversion"/>
  </si>
  <si>
    <t>無人機影像分析後產品：
所輸入茶園的中心點位於每一圖幅白色十字虛線交叉處，
所輸入茶園的南北向與東西向長度分別是每一圖幅之垂直與水平方向長度(至少為20m)。</t>
    <phoneticPr fontId="1" type="noConversion"/>
  </si>
  <si>
    <t>衛星影像分析後產品：
所輸入茶園的中心點位於白色十字虛線交叉處，每一圖幅範圍至少為250m x 250m (可能大於此茶園的範圍)。
若在影像分析程式中勾選"僅顯示茶園部分"，則經影像分類判斷不屬於茶園的位置會以黑色表示。</t>
    <phoneticPr fontId="1" type="noConversion"/>
  </si>
  <si>
    <r>
      <rPr>
        <sz val="10"/>
        <color theme="1"/>
        <rFont val="細明體"/>
        <family val="3"/>
        <charset val="136"/>
      </rPr>
      <t>檢視</t>
    </r>
    <r>
      <rPr>
        <sz val="10"/>
        <color theme="1"/>
        <rFont val="Times New Roman"/>
        <family val="1"/>
      </rPr>
      <t>NDVI</t>
    </r>
    <r>
      <rPr>
        <sz val="10"/>
        <color theme="1"/>
        <rFont val="細明體"/>
        <family val="3"/>
        <charset val="136"/>
      </rPr>
      <t xml:space="preserve">分佈圖，是否存在有相差兩個級距以上的空間變異。
</t>
    </r>
    <r>
      <rPr>
        <sz val="10"/>
        <color theme="1"/>
        <rFont val="Times New Roman"/>
        <family val="1"/>
      </rPr>
      <t>NDVI</t>
    </r>
    <r>
      <rPr>
        <sz val="10"/>
        <color theme="1"/>
        <rFont val="細明體"/>
        <family val="3"/>
        <charset val="136"/>
      </rPr>
      <t>的空間變異可能會一直存在於所有茶季或僅在某些茶季才出現。</t>
    </r>
    <phoneticPr fontId="1" type="noConversion"/>
  </si>
  <si>
    <t>按"分析"後，若顯示沒有可用之無人機影像，可先縮小茶園東西/南北向長度至20m，以確認是否確實沒有無人機影像可供使用。
若有無人機影像可用，再細調茶園中心座標和南北/東西向的長度，以利獲取茶園完整影像，並同時更新茶園中心位置和範圍資訊。</t>
    <phoneticPr fontId="1" type="noConversion"/>
  </si>
  <si>
    <t>是: 繼續對成熟葉徵狀進行診斷； 
否: 改對新芽/新葉徵狀進行診斷 。</t>
    <phoneticPr fontId="1" type="noConversion"/>
  </si>
  <si>
    <t>請先參考常見診斷流程和可能的元素拮抗關係。。</t>
    <phoneticPr fontId="1" type="noConversion"/>
  </si>
  <si>
    <t>正常的植株底部仍會有許多老葉。</t>
    <phoneticPr fontId="1" type="noConversion"/>
  </si>
  <si>
    <r>
      <rPr>
        <sz val="10"/>
        <color theme="1"/>
        <rFont val="細明體"/>
        <family val="3"/>
        <charset val="136"/>
      </rPr>
      <t>作物生長所需的必要養分計有十六種</t>
    </r>
    <r>
      <rPr>
        <sz val="10"/>
        <color theme="1"/>
        <rFont val="Times New Roman"/>
        <family val="1"/>
      </rPr>
      <t>(</t>
    </r>
    <r>
      <rPr>
        <sz val="10"/>
        <color theme="1"/>
        <rFont val="細明體"/>
        <family val="3"/>
        <charset val="136"/>
      </rPr>
      <t>碳、氫、氧、氮、磷、鉀、鈣、鎂、硫、鐵、錳、銅、鋅、氯、鉬、硼</t>
    </r>
    <r>
      <rPr>
        <sz val="10"/>
        <color theme="1"/>
        <rFont val="Times New Roman"/>
        <family val="1"/>
      </rPr>
      <t>)</t>
    </r>
    <r>
      <rPr>
        <sz val="10"/>
        <color theme="1"/>
        <rFont val="細明體"/>
        <family val="3"/>
        <charset val="136"/>
      </rPr>
      <t>，除碳，氫和氧三者外，其他的十三種養分主要由根系從土壤中吸收。每一種養分均有其特有的生理功能，當任何一種養分出現不足，過多或不平衡時，作物的生理代謝功能就會發生障礙，從而在外觀上出現特定的徵狀，因此可根據對不同元素之功用及移動性的瞭解，藉由肉眼的
觀察來推測作物發生營養障礙的要素種類，在田間做初步的快速判斷，可節省使用精密儀器分析的等待時間。
由外表徵狀進行診斷，首先要確定此徵狀非由細菌、真菌或病毒等所引起的疾病或其他非養分的環境因子所引起</t>
    </r>
    <r>
      <rPr>
        <sz val="10"/>
        <color theme="1"/>
        <rFont val="Times New Roman"/>
        <family val="1"/>
      </rPr>
      <t>(</t>
    </r>
    <r>
      <rPr>
        <sz val="10"/>
        <color theme="1"/>
        <rFont val="細明體"/>
        <family val="3"/>
        <charset val="136"/>
      </rPr>
      <t>如水分缺乏</t>
    </r>
    <r>
      <rPr>
        <sz val="10"/>
        <color theme="1"/>
        <rFont val="Times New Roman"/>
        <family val="1"/>
      </rPr>
      <t>)</t>
    </r>
    <r>
      <rPr>
        <sz val="10"/>
        <color theme="1"/>
        <rFont val="細明體"/>
        <family val="3"/>
        <charset val="136"/>
      </rPr>
      <t>。一般而言，非疾病所引起的現象，並不會傳染；而營養障礙通常為全面性的，且發生的部位有規則可循。
由於外表徵候與其在植物體內的功用有關，因此同一元素缺乏的特性徵候基本上是相同的，只是有時候無法確知是哪一個功用受到影響，且由元素所引起的效應，也可以被其他生長因子作某些程度的修飾。而一個元素的缺乏，可能也肇因於另外一個元素的過多</t>
    </r>
    <r>
      <rPr>
        <sz val="10"/>
        <color theme="1"/>
        <rFont val="Times New Roman"/>
        <family val="1"/>
      </rPr>
      <t>(</t>
    </r>
    <r>
      <rPr>
        <sz val="10"/>
        <color theme="1"/>
        <rFont val="細明體"/>
        <family val="3"/>
        <charset val="136"/>
      </rPr>
      <t>拮抗作用</t>
    </r>
    <r>
      <rPr>
        <sz val="10"/>
        <color theme="1"/>
        <rFont val="Times New Roman"/>
        <family val="1"/>
      </rPr>
      <t>)</t>
    </r>
    <r>
      <rPr>
        <sz val="10"/>
        <color theme="1"/>
        <rFont val="細明體"/>
        <family val="3"/>
        <charset val="136"/>
      </rPr>
      <t xml:space="preserve">，因此，也無法毫不保留的說是由於某個元素的缺乏而非過多。
</t>
    </r>
    <phoneticPr fontId="1" type="noConversion"/>
  </si>
  <si>
    <t>N1000</t>
    <phoneticPr fontId="1" type="noConversion"/>
  </si>
  <si>
    <t>當可見蟲體、蟲糞、蟲食痕跡、蟲癭或蟎類時，多為昆蟲危害。</t>
    <phoneticPr fontId="1" type="noConversion"/>
  </si>
  <si>
    <r>
      <t>體細長，約1</t>
    </r>
    <r>
      <rPr>
        <sz val="10"/>
        <color theme="1"/>
        <rFont val="Arial Unicode MS"/>
        <family val="2"/>
        <charset val="136"/>
      </rPr>
      <t>∼</t>
    </r>
    <r>
      <rPr>
        <sz val="10"/>
        <color theme="1"/>
        <rFont val="細明體"/>
        <family val="3"/>
        <charset val="136"/>
      </rPr>
      <t>2毫米。幼蟲黃白色，爬行迅速；成蟲黑褐色，有翅會飛。</t>
    </r>
    <phoneticPr fontId="1" type="noConversion"/>
  </si>
  <si>
    <r>
      <t>體橢圓，約1</t>
    </r>
    <r>
      <rPr>
        <sz val="10"/>
        <color theme="1"/>
        <rFont val="Arial Unicode MS"/>
        <family val="2"/>
        <charset val="136"/>
      </rPr>
      <t>∼</t>
    </r>
    <r>
      <rPr>
        <sz val="10"/>
        <color theme="1"/>
        <rFont val="細明體"/>
        <family val="3"/>
        <charset val="136"/>
      </rPr>
      <t>2毫米。足部明顯伸出體外，爬行很慢，群棲心葉，葉背、嫩莖或花朵處。一般無翅，但偶有有翅者，易導致煤病發生。</t>
    </r>
    <phoneticPr fontId="1" type="noConversion"/>
  </si>
  <si>
    <r>
      <t>體長約1</t>
    </r>
    <r>
      <rPr>
        <sz val="10"/>
        <color theme="1"/>
        <rFont val="Arial Unicode MS"/>
        <family val="2"/>
        <charset val="136"/>
      </rPr>
      <t>∼</t>
    </r>
    <r>
      <rPr>
        <sz val="10"/>
        <color theme="1"/>
        <rFont val="細明體"/>
        <family val="3"/>
        <charset val="136"/>
      </rPr>
      <t>2毫米，蟲體貼附於植株無法移動，體圓形、橢圓形或扇形，表面有一層硬殼，或呈白色綿狀。</t>
    </r>
    <phoneticPr fontId="1" type="noConversion"/>
  </si>
  <si>
    <t>#2102</t>
    <phoneticPr fontId="1" type="noConversion"/>
  </si>
  <si>
    <t>#2202</t>
    <phoneticPr fontId="1" type="noConversion"/>
  </si>
  <si>
    <t>真菌病害</t>
    <phoneticPr fontId="1" type="noConversion"/>
  </si>
  <si>
    <t>被害處切面置清水中，由切面處有乳白色汁液流出? 被害切面處有乳白或乳黃菌泥出現？</t>
    <phoneticPr fontId="1" type="noConversion"/>
  </si>
  <si>
    <t>1.耕作防治：適當整枝修剪及調整栽培密度，可改善茶園通風性，降低薊馬發生密度。
2.物理防治：黃色黏紙約5公尺設置一處，高度約離茶樹冠面10公分，黏性降低時更換。
3.生物防治：每5行茶樹（每行30株茶樹）釋放3000隻小黑花椿象，或每株茶樹釋放基徵草蛉二齡幼蟲30隻。
4.化學防治：萌芽初期害蟲發生時施藥，可分別選用11.6%賜諾殺水懸劑或9.6%益達胺溶液各2000倍來防治。</t>
    <phoneticPr fontId="1" type="noConversion"/>
  </si>
  <si>
    <r>
      <t>1.</t>
    </r>
    <r>
      <rPr>
        <sz val="10"/>
        <color theme="1"/>
        <rFont val="細明體"/>
        <family val="3"/>
        <charset val="136"/>
      </rPr>
      <t xml:space="preserve">耕作防治：冬季進行剪枝及清園以減少葉蟎越冬之棲息地。
</t>
    </r>
    <r>
      <rPr>
        <sz val="10"/>
        <color theme="1"/>
        <rFont val="Times New Roman"/>
        <family val="1"/>
      </rPr>
      <t>2.</t>
    </r>
    <r>
      <rPr>
        <sz val="10"/>
        <color theme="1"/>
        <rFont val="細明體"/>
        <family val="3"/>
        <charset val="136"/>
      </rPr>
      <t>生物防治：茶葉面有蟎蜱類出現時，每公頃每次釋放補植蟎</t>
    </r>
    <r>
      <rPr>
        <sz val="10"/>
        <color theme="1"/>
        <rFont val="Times New Roman"/>
        <family val="1"/>
      </rPr>
      <t>5</t>
    </r>
    <r>
      <rPr>
        <sz val="10"/>
        <color theme="1"/>
        <rFont val="細明體"/>
        <family val="3"/>
        <charset val="136"/>
      </rPr>
      <t xml:space="preserve">萬隻。
</t>
    </r>
    <r>
      <rPr>
        <sz val="10"/>
        <color theme="1"/>
        <rFont val="Times New Roman"/>
        <family val="1"/>
      </rPr>
      <t>3.</t>
    </r>
    <r>
      <rPr>
        <sz val="10"/>
        <color theme="1"/>
        <rFont val="細明體"/>
        <family val="3"/>
        <charset val="136"/>
      </rPr>
      <t>化學防治：</t>
    </r>
    <phoneticPr fontId="1" type="noConversion"/>
  </si>
  <si>
    <t>1.耕作防治：應於冬季剪枝及除草時去除不必要的枝條及雜草，所剪除的枝條及雜草應迅速清離園區，以減少葉蟎越冬之棲息地。提早採茶，也可減少葉蟎危害嫩葉的機會。
2.生物防治：茶葉面有葉蟎出現時，每公頃每次釋放補植蟎5萬隻。
3.化學防治：可分別選用99%礦物油乳劑500倍、5%合芬寧膠囊懸著液1000倍、10%依殺蟎水懸劑4000倍、10%克凡派水懸劑1000倍、18.3%芬殺蟎水懸劑3000倍、3%阿納寧可濕性粉劑1500倍、1%密滅汀乳劑1000倍、10%芬普寧可濕性粉劑1000倍、2.8%畢芬寧乳劑2000倍、80%可濕性硫黃水分散性粒劑400倍、80%可濕性硫黃可濕性粉劑400倍、或25%蟎離丹可濕性粉劑1000倍來防治。由於葉蟎多產卵棲息活動於葉背，因此噴藥時應將藥液均勻噴至葉背，霧粒要細，用水量要足。另為避免抗藥性之發生，藥劑應輪流使用。
除推薦之防治藥劑外，偶而噴施尿素200倍、醋200倍或某些魚製品副產物之植物營養液於葉背亦有佳效，唯應注意是否有藥害情形。</t>
    <phoneticPr fontId="1" type="noConversion"/>
  </si>
  <si>
    <t>1.耕作防治：(1)通風不良、陰涼茶園，容易發生，必須特別注意改善茶園之通風環境(清除闊葉性雜草、避免茶園周圍之遮陰樹)，危害嚴重時仍要正常採摘或修剪。(2)角盲椿屬的椿象卵多產於幼梢節間組織內，卵粒上有二條白毛露出，易發現將之剪除消毀。(3)在春季萌芽時即應注意成蟲開始危害產卵，發生初期用人工捕殺幼蟲及成蟲。。
2.生物防治：菸草水。
3.化學防治：</t>
    <phoneticPr fontId="1" type="noConversion"/>
  </si>
  <si>
    <r>
      <t xml:space="preserve">1. </t>
    </r>
    <r>
      <rPr>
        <sz val="10"/>
        <color theme="1"/>
        <rFont val="細明體"/>
        <family val="3"/>
        <charset val="136"/>
      </rPr>
      <t>耕作防治：</t>
    </r>
    <r>
      <rPr>
        <sz val="10"/>
        <color theme="1"/>
        <rFont val="Times New Roman"/>
        <family val="1"/>
      </rPr>
      <t>(1)</t>
    </r>
    <r>
      <rPr>
        <sz val="10"/>
        <color theme="1"/>
        <rFont val="細明體"/>
        <family val="3"/>
        <charset val="136"/>
      </rPr>
      <t>適當整枝修剪及調整栽培密度，可改善茶園通風性，降低葉蟬發生密度。</t>
    </r>
    <r>
      <rPr>
        <sz val="10"/>
        <color theme="1"/>
        <rFont val="Times New Roman"/>
        <family val="1"/>
      </rPr>
      <t>(2)</t>
    </r>
    <r>
      <rPr>
        <sz val="10"/>
        <color theme="1"/>
        <rFont val="細明體"/>
        <family val="3"/>
        <charset val="136"/>
      </rPr>
      <t>定期清除田間雜草，改善通風環境，可減輕嫩梢被危害。</t>
    </r>
    <r>
      <rPr>
        <sz val="10"/>
        <color theme="1"/>
        <rFont val="Times New Roman"/>
        <family val="1"/>
      </rPr>
      <t>(3)</t>
    </r>
    <r>
      <rPr>
        <sz val="10"/>
        <color theme="1"/>
        <rFont val="細明體"/>
        <family val="3"/>
        <charset val="136"/>
      </rPr>
      <t xml:space="preserve">乾旱時期灌溉茶園適施肥，保持旺盛生機，增加抵抗受害能力。
</t>
    </r>
    <r>
      <rPr>
        <sz val="10"/>
        <color theme="1"/>
        <rFont val="Times New Roman"/>
        <family val="1"/>
      </rPr>
      <t>2.</t>
    </r>
    <r>
      <rPr>
        <sz val="10"/>
        <color theme="1"/>
        <rFont val="細明體"/>
        <family val="3"/>
        <charset val="136"/>
      </rPr>
      <t>物理防治：黃色黏紙約</t>
    </r>
    <r>
      <rPr>
        <sz val="10"/>
        <color theme="1"/>
        <rFont val="Times New Roman"/>
        <family val="1"/>
      </rPr>
      <t>5</t>
    </r>
    <r>
      <rPr>
        <sz val="10"/>
        <color theme="1"/>
        <rFont val="細明體"/>
        <family val="3"/>
        <charset val="136"/>
      </rPr>
      <t>公尺設置一處，高度約離茶樹冠面</t>
    </r>
    <r>
      <rPr>
        <sz val="10"/>
        <color theme="1"/>
        <rFont val="Times New Roman"/>
        <family val="1"/>
      </rPr>
      <t>10</t>
    </r>
    <r>
      <rPr>
        <sz val="10"/>
        <color theme="1"/>
        <rFont val="細明體"/>
        <family val="3"/>
        <charset val="136"/>
      </rPr>
      <t xml:space="preserve">公分，黏性降低時更換。
</t>
    </r>
    <r>
      <rPr>
        <sz val="10"/>
        <color theme="1"/>
        <rFont val="Times New Roman"/>
        <family val="1"/>
      </rPr>
      <t>3.</t>
    </r>
    <r>
      <rPr>
        <sz val="10"/>
        <color theme="1"/>
        <rFont val="細明體"/>
        <family val="3"/>
        <charset val="136"/>
      </rPr>
      <t>生物防治：每株茶樹每隔</t>
    </r>
    <r>
      <rPr>
        <sz val="10"/>
        <color theme="1"/>
        <rFont val="Times New Roman"/>
        <family val="1"/>
      </rPr>
      <t>10</t>
    </r>
    <r>
      <rPr>
        <sz val="10"/>
        <color theme="1"/>
        <rFont val="細明體"/>
        <family val="3"/>
        <charset val="136"/>
      </rPr>
      <t>天釋放基徵草蛉一齡幼蟲</t>
    </r>
    <r>
      <rPr>
        <sz val="10"/>
        <color theme="1"/>
        <rFont val="Times New Roman"/>
        <family val="1"/>
      </rPr>
      <t>30</t>
    </r>
    <r>
      <rPr>
        <sz val="10"/>
        <color theme="1"/>
        <rFont val="細明體"/>
        <family val="3"/>
        <charset val="136"/>
      </rPr>
      <t xml:space="preserve">隻，並配合黃色黏紙。
</t>
    </r>
    <r>
      <rPr>
        <sz val="10"/>
        <color theme="1"/>
        <rFont val="Times New Roman"/>
        <family val="1"/>
      </rPr>
      <t>4.</t>
    </r>
    <r>
      <rPr>
        <sz val="10"/>
        <color theme="1"/>
        <rFont val="細明體"/>
        <family val="3"/>
        <charset val="136"/>
      </rPr>
      <t>化學防治：可分別選用</t>
    </r>
    <r>
      <rPr>
        <sz val="10"/>
        <color theme="1"/>
        <rFont val="Times New Roman"/>
        <family val="1"/>
      </rPr>
      <t>16%</t>
    </r>
    <r>
      <rPr>
        <sz val="10"/>
        <color theme="1"/>
        <rFont val="細明體"/>
        <family val="3"/>
        <charset val="136"/>
      </rPr>
      <t>可尼丁水溶性粒劑</t>
    </r>
    <r>
      <rPr>
        <sz val="10"/>
        <color theme="1"/>
        <rFont val="Times New Roman"/>
        <family val="1"/>
      </rPr>
      <t>4000</t>
    </r>
    <r>
      <rPr>
        <sz val="10"/>
        <color theme="1"/>
        <rFont val="細明體"/>
        <family val="3"/>
        <charset val="136"/>
      </rPr>
      <t>倍、</t>
    </r>
    <r>
      <rPr>
        <sz val="10"/>
        <color theme="1"/>
        <rFont val="Times New Roman"/>
        <family val="1"/>
      </rPr>
      <t>20%</t>
    </r>
    <r>
      <rPr>
        <sz val="10"/>
        <color theme="1"/>
        <rFont val="細明體"/>
        <family val="3"/>
        <charset val="136"/>
      </rPr>
      <t>達特南水溶性粒劑</t>
    </r>
    <r>
      <rPr>
        <sz val="10"/>
        <color theme="1"/>
        <rFont val="Times New Roman"/>
        <family val="1"/>
      </rPr>
      <t>3000</t>
    </r>
    <r>
      <rPr>
        <sz val="10"/>
        <color theme="1"/>
        <rFont val="細明體"/>
        <family val="3"/>
        <charset val="136"/>
      </rPr>
      <t>倍、</t>
    </r>
    <r>
      <rPr>
        <sz val="10"/>
        <color theme="1"/>
        <rFont val="Times New Roman"/>
        <family val="1"/>
      </rPr>
      <t>25%</t>
    </r>
    <r>
      <rPr>
        <sz val="10"/>
        <color theme="1"/>
        <rFont val="細明體"/>
        <family val="3"/>
        <charset val="136"/>
      </rPr>
      <t>賽速安水溶性粒劑</t>
    </r>
    <r>
      <rPr>
        <sz val="10"/>
        <color theme="1"/>
        <rFont val="Times New Roman"/>
        <family val="1"/>
      </rPr>
      <t>5000</t>
    </r>
    <r>
      <rPr>
        <sz val="10"/>
        <color theme="1"/>
        <rFont val="細明體"/>
        <family val="3"/>
        <charset val="136"/>
      </rPr>
      <t>倍、</t>
    </r>
    <r>
      <rPr>
        <sz val="10"/>
        <color theme="1"/>
        <rFont val="Times New Roman"/>
        <family val="1"/>
      </rPr>
      <t>5%</t>
    </r>
    <r>
      <rPr>
        <sz val="10"/>
        <color theme="1"/>
        <rFont val="細明體"/>
        <family val="3"/>
        <charset val="136"/>
      </rPr>
      <t>合芬寧膠囊懸著液</t>
    </r>
    <r>
      <rPr>
        <sz val="10"/>
        <color theme="1"/>
        <rFont val="Times New Roman"/>
        <family val="1"/>
      </rPr>
      <t>1000</t>
    </r>
    <r>
      <rPr>
        <sz val="10"/>
        <color theme="1"/>
        <rFont val="細明體"/>
        <family val="3"/>
        <charset val="136"/>
      </rPr>
      <t>倍、</t>
    </r>
    <r>
      <rPr>
        <sz val="10"/>
        <color theme="1"/>
        <rFont val="Times New Roman"/>
        <family val="1"/>
      </rPr>
      <t>20%</t>
    </r>
    <r>
      <rPr>
        <sz val="10"/>
        <color theme="1"/>
        <rFont val="細明體"/>
        <family val="3"/>
        <charset val="136"/>
      </rPr>
      <t>亞滅培水溶性粉劑</t>
    </r>
    <r>
      <rPr>
        <sz val="10"/>
        <color theme="1"/>
        <rFont val="Times New Roman"/>
        <family val="1"/>
      </rPr>
      <t>4000</t>
    </r>
    <r>
      <rPr>
        <sz val="10"/>
        <color theme="1"/>
        <rFont val="細明體"/>
        <family val="3"/>
        <charset val="136"/>
      </rPr>
      <t>倍、</t>
    </r>
    <r>
      <rPr>
        <sz val="10"/>
        <color theme="1"/>
        <rFont val="Times New Roman"/>
        <family val="1"/>
      </rPr>
      <t>11.78%</t>
    </r>
    <r>
      <rPr>
        <sz val="10"/>
        <color theme="1"/>
        <rFont val="細明體"/>
        <family val="3"/>
        <charset val="136"/>
      </rPr>
      <t>布芬第滅寧乳劑</t>
    </r>
    <r>
      <rPr>
        <sz val="10"/>
        <color theme="1"/>
        <rFont val="Times New Roman"/>
        <family val="1"/>
      </rPr>
      <t>1000</t>
    </r>
    <r>
      <rPr>
        <sz val="10"/>
        <color theme="1"/>
        <rFont val="細明體"/>
        <family val="3"/>
        <charset val="136"/>
      </rPr>
      <t>倍、</t>
    </r>
    <r>
      <rPr>
        <sz val="10"/>
        <color theme="1"/>
        <rFont val="Times New Roman"/>
        <family val="1"/>
      </rPr>
      <t>40%</t>
    </r>
    <r>
      <rPr>
        <sz val="10"/>
        <color theme="1"/>
        <rFont val="細明體"/>
        <family val="3"/>
        <charset val="136"/>
      </rPr>
      <t>加保福化利可濕性粉劑</t>
    </r>
    <r>
      <rPr>
        <sz val="10"/>
        <color theme="1"/>
        <rFont val="Times New Roman"/>
        <family val="1"/>
      </rPr>
      <t>2000</t>
    </r>
    <r>
      <rPr>
        <sz val="10"/>
        <color theme="1"/>
        <rFont val="細明體"/>
        <family val="3"/>
        <charset val="136"/>
      </rPr>
      <t>倍、</t>
    </r>
    <r>
      <rPr>
        <sz val="10"/>
        <color theme="1"/>
        <rFont val="Times New Roman"/>
        <family val="1"/>
      </rPr>
      <t>30%</t>
    </r>
    <r>
      <rPr>
        <sz val="10"/>
        <color theme="1"/>
        <rFont val="細明體"/>
        <family val="3"/>
        <charset val="136"/>
      </rPr>
      <t>撲芬松乳劑</t>
    </r>
    <r>
      <rPr>
        <sz val="10"/>
        <color theme="1"/>
        <rFont val="Times New Roman"/>
        <family val="1"/>
      </rPr>
      <t>1000</t>
    </r>
    <r>
      <rPr>
        <sz val="10"/>
        <color theme="1"/>
        <rFont val="細明體"/>
        <family val="3"/>
        <charset val="136"/>
      </rPr>
      <t>倍、</t>
    </r>
    <r>
      <rPr>
        <sz val="10"/>
        <color theme="1"/>
        <rFont val="Times New Roman"/>
        <family val="1"/>
      </rPr>
      <t>5%</t>
    </r>
    <r>
      <rPr>
        <sz val="10"/>
        <color theme="1"/>
        <rFont val="細明體"/>
        <family val="3"/>
        <charset val="136"/>
      </rPr>
      <t>賽扶寧水基乳劑</t>
    </r>
    <r>
      <rPr>
        <sz val="10"/>
        <color theme="1"/>
        <rFont val="Times New Roman"/>
        <family val="1"/>
      </rPr>
      <t>2000</t>
    </r>
    <r>
      <rPr>
        <sz val="10"/>
        <color theme="1"/>
        <rFont val="細明體"/>
        <family val="3"/>
        <charset val="136"/>
      </rPr>
      <t>倍、</t>
    </r>
    <r>
      <rPr>
        <sz val="10"/>
        <color theme="1"/>
        <rFont val="Times New Roman"/>
        <family val="1"/>
      </rPr>
      <t>9.6%</t>
    </r>
    <r>
      <rPr>
        <sz val="10"/>
        <color theme="1"/>
        <rFont val="細明體"/>
        <family val="3"/>
        <charset val="136"/>
      </rPr>
      <t>益達胺溶液</t>
    </r>
    <r>
      <rPr>
        <sz val="10"/>
        <color theme="1"/>
        <rFont val="Times New Roman"/>
        <family val="1"/>
      </rPr>
      <t>3000</t>
    </r>
    <r>
      <rPr>
        <sz val="10"/>
        <color theme="1"/>
        <rFont val="細明體"/>
        <family val="3"/>
        <charset val="136"/>
      </rPr>
      <t>倍、</t>
    </r>
    <r>
      <rPr>
        <sz val="10"/>
        <color theme="1"/>
        <rFont val="Times New Roman"/>
        <family val="1"/>
      </rPr>
      <t>50%</t>
    </r>
    <r>
      <rPr>
        <sz val="10"/>
        <color theme="1"/>
        <rFont val="細明體"/>
        <family val="3"/>
        <charset val="136"/>
      </rPr>
      <t>培丹水溶性粉劑</t>
    </r>
    <r>
      <rPr>
        <sz val="10"/>
        <color theme="1"/>
        <rFont val="Times New Roman"/>
        <family val="1"/>
      </rPr>
      <t>1000</t>
    </r>
    <r>
      <rPr>
        <sz val="10"/>
        <color theme="1"/>
        <rFont val="細明體"/>
        <family val="3"/>
        <charset val="136"/>
      </rPr>
      <t>倍、</t>
    </r>
    <r>
      <rPr>
        <sz val="10"/>
        <color theme="1"/>
        <rFont val="Times New Roman"/>
        <family val="1"/>
      </rPr>
      <t>2.8%</t>
    </r>
    <r>
      <rPr>
        <sz val="10"/>
        <color theme="1"/>
        <rFont val="細明體"/>
        <family val="3"/>
        <charset val="136"/>
      </rPr>
      <t>畢芬寧乳劑</t>
    </r>
    <r>
      <rPr>
        <sz val="10"/>
        <color theme="1"/>
        <rFont val="Times New Roman"/>
        <family val="1"/>
      </rPr>
      <t>2000</t>
    </r>
    <r>
      <rPr>
        <sz val="10"/>
        <color theme="1"/>
        <rFont val="細明體"/>
        <family val="3"/>
        <charset val="136"/>
      </rPr>
      <t>倍、</t>
    </r>
    <r>
      <rPr>
        <sz val="10"/>
        <color theme="1"/>
        <rFont val="Times New Roman"/>
        <family val="1"/>
      </rPr>
      <t>3%</t>
    </r>
    <r>
      <rPr>
        <sz val="10"/>
        <color theme="1"/>
        <rFont val="細明體"/>
        <family val="3"/>
        <charset val="136"/>
      </rPr>
      <t>亞滅寧水基乳劑</t>
    </r>
    <r>
      <rPr>
        <sz val="10"/>
        <color theme="1"/>
        <rFont val="Times New Roman"/>
        <family val="1"/>
      </rPr>
      <t>1000</t>
    </r>
    <r>
      <rPr>
        <sz val="10"/>
        <color theme="1"/>
        <rFont val="細明體"/>
        <family val="3"/>
        <charset val="136"/>
      </rPr>
      <t>倍、</t>
    </r>
    <r>
      <rPr>
        <sz val="10"/>
        <color theme="1"/>
        <rFont val="Times New Roman"/>
        <family val="1"/>
      </rPr>
      <t>2.5%</t>
    </r>
    <r>
      <rPr>
        <sz val="10"/>
        <color theme="1"/>
        <rFont val="細明體"/>
        <family val="3"/>
        <charset val="136"/>
      </rPr>
      <t>賽洛寧乳劑</t>
    </r>
    <r>
      <rPr>
        <sz val="10"/>
        <color theme="1"/>
        <rFont val="Times New Roman"/>
        <family val="1"/>
      </rPr>
      <t>1000</t>
    </r>
    <r>
      <rPr>
        <sz val="10"/>
        <color theme="1"/>
        <rFont val="細明體"/>
        <family val="3"/>
        <charset val="136"/>
      </rPr>
      <t>倍、</t>
    </r>
    <r>
      <rPr>
        <sz val="10"/>
        <color theme="1"/>
        <rFont val="Times New Roman"/>
        <family val="1"/>
      </rPr>
      <t>10%</t>
    </r>
    <r>
      <rPr>
        <sz val="10"/>
        <color theme="1"/>
        <rFont val="細明體"/>
        <family val="3"/>
        <charset val="136"/>
      </rPr>
      <t>芬普寧乳劑</t>
    </r>
    <r>
      <rPr>
        <sz val="10"/>
        <color theme="1"/>
        <rFont val="Times New Roman"/>
        <family val="1"/>
      </rPr>
      <t>2000</t>
    </r>
    <r>
      <rPr>
        <sz val="10"/>
        <color theme="1"/>
        <rFont val="細明體"/>
        <family val="3"/>
        <charset val="136"/>
      </rPr>
      <t>倍、</t>
    </r>
    <r>
      <rPr>
        <sz val="10"/>
        <color theme="1"/>
        <rFont val="Times New Roman"/>
        <family val="1"/>
      </rPr>
      <t>5%</t>
    </r>
    <r>
      <rPr>
        <sz val="10"/>
        <color theme="1"/>
        <rFont val="細明體"/>
        <family val="3"/>
        <charset val="136"/>
      </rPr>
      <t>護賽寧溶液</t>
    </r>
    <r>
      <rPr>
        <sz val="10"/>
        <color theme="1"/>
        <rFont val="Times New Roman"/>
        <family val="1"/>
      </rPr>
      <t>1600</t>
    </r>
    <r>
      <rPr>
        <sz val="10"/>
        <color theme="1"/>
        <rFont val="細明體"/>
        <family val="3"/>
        <charset val="136"/>
      </rPr>
      <t>倍、</t>
    </r>
    <r>
      <rPr>
        <sz val="10"/>
        <color theme="1"/>
        <rFont val="Times New Roman"/>
        <family val="1"/>
      </rPr>
      <t>50%</t>
    </r>
    <r>
      <rPr>
        <sz val="10"/>
        <color theme="1"/>
        <rFont val="細明體"/>
        <family val="3"/>
        <charset val="136"/>
      </rPr>
      <t>加保利可濕性粉劑</t>
    </r>
    <r>
      <rPr>
        <sz val="10"/>
        <color theme="1"/>
        <rFont val="Times New Roman"/>
        <family val="1"/>
      </rPr>
      <t>800</t>
    </r>
    <r>
      <rPr>
        <sz val="10"/>
        <color theme="1"/>
        <rFont val="細明體"/>
        <family val="3"/>
        <charset val="136"/>
      </rPr>
      <t>倍、</t>
    </r>
    <r>
      <rPr>
        <sz val="10"/>
        <color theme="1"/>
        <rFont val="Times New Roman"/>
        <family val="1"/>
      </rPr>
      <t>85%</t>
    </r>
    <r>
      <rPr>
        <sz val="10"/>
        <color theme="1"/>
        <rFont val="細明體"/>
        <family val="3"/>
        <charset val="136"/>
      </rPr>
      <t>加保利可濕性粉劑</t>
    </r>
    <r>
      <rPr>
        <sz val="10"/>
        <color theme="1"/>
        <rFont val="Times New Roman"/>
        <family val="1"/>
      </rPr>
      <t>1350</t>
    </r>
    <r>
      <rPr>
        <sz val="10"/>
        <color theme="1"/>
        <rFont val="細明體"/>
        <family val="3"/>
        <charset val="136"/>
      </rPr>
      <t>倍、</t>
    </r>
    <r>
      <rPr>
        <sz val="10"/>
        <color theme="1"/>
        <rFont val="Times New Roman"/>
        <family val="1"/>
      </rPr>
      <t>40%</t>
    </r>
    <r>
      <rPr>
        <sz val="10"/>
        <color theme="1"/>
        <rFont val="細明體"/>
        <family val="3"/>
        <charset val="136"/>
      </rPr>
      <t>納乃得水溶性粒劑或粉劑</t>
    </r>
    <r>
      <rPr>
        <sz val="10"/>
        <color theme="1"/>
        <rFont val="Times New Roman"/>
        <family val="1"/>
      </rPr>
      <t>900</t>
    </r>
    <r>
      <rPr>
        <sz val="10"/>
        <color theme="1"/>
        <rFont val="細明體"/>
        <family val="3"/>
        <charset val="136"/>
      </rPr>
      <t>倍、</t>
    </r>
    <r>
      <rPr>
        <sz val="10"/>
        <color theme="1"/>
        <rFont val="Times New Roman"/>
        <family val="1"/>
      </rPr>
      <t>25%</t>
    </r>
    <r>
      <rPr>
        <sz val="10"/>
        <color theme="1"/>
        <rFont val="細明體"/>
        <family val="3"/>
        <charset val="136"/>
      </rPr>
      <t>納乃得水溶性粉劑</t>
    </r>
    <r>
      <rPr>
        <sz val="10"/>
        <color theme="1"/>
        <rFont val="Times New Roman"/>
        <family val="1"/>
      </rPr>
      <t>600</t>
    </r>
    <r>
      <rPr>
        <sz val="10"/>
        <color theme="1"/>
        <rFont val="細明體"/>
        <family val="3"/>
        <charset val="136"/>
      </rPr>
      <t>倍、</t>
    </r>
    <r>
      <rPr>
        <sz val="10"/>
        <color theme="1"/>
        <rFont val="Times New Roman"/>
        <family val="1"/>
      </rPr>
      <t>24%</t>
    </r>
    <r>
      <rPr>
        <sz val="10"/>
        <color theme="1"/>
        <rFont val="細明體"/>
        <family val="3"/>
        <charset val="136"/>
      </rPr>
      <t>納乃得溶液</t>
    </r>
    <r>
      <rPr>
        <sz val="10"/>
        <color theme="1"/>
        <rFont val="Times New Roman"/>
        <family val="1"/>
      </rPr>
      <t>700</t>
    </r>
    <r>
      <rPr>
        <sz val="10"/>
        <color theme="1"/>
        <rFont val="細明體"/>
        <family val="3"/>
        <charset val="136"/>
      </rPr>
      <t>倍、</t>
    </r>
    <r>
      <rPr>
        <sz val="10"/>
        <color theme="1"/>
        <rFont val="Times New Roman"/>
        <family val="1"/>
      </rPr>
      <t>40.64%</t>
    </r>
    <r>
      <rPr>
        <sz val="10"/>
        <color theme="1"/>
        <rFont val="細明體"/>
        <family val="3"/>
        <charset val="136"/>
      </rPr>
      <t>加保扶水懸劑</t>
    </r>
    <r>
      <rPr>
        <sz val="10"/>
        <color theme="1"/>
        <rFont val="Times New Roman"/>
        <family val="1"/>
      </rPr>
      <t>800</t>
    </r>
    <r>
      <rPr>
        <sz val="10"/>
        <color theme="1"/>
        <rFont val="細明體"/>
        <family val="3"/>
        <charset val="136"/>
      </rPr>
      <t>倍、或</t>
    </r>
    <r>
      <rPr>
        <sz val="10"/>
        <color theme="1"/>
        <rFont val="Times New Roman"/>
        <family val="1"/>
      </rPr>
      <t>10%</t>
    </r>
    <r>
      <rPr>
        <sz val="10"/>
        <color theme="1"/>
        <rFont val="細明體"/>
        <family val="3"/>
        <charset val="136"/>
      </rPr>
      <t>美文松乳劑或溶液</t>
    </r>
    <r>
      <rPr>
        <sz val="10"/>
        <color theme="1"/>
        <rFont val="Times New Roman"/>
        <family val="1"/>
      </rPr>
      <t>650-750</t>
    </r>
    <r>
      <rPr>
        <sz val="10"/>
        <color theme="1"/>
        <rFont val="細明體"/>
        <family val="3"/>
        <charset val="136"/>
      </rPr>
      <t>倍來防治。為兼顧安全用藥，並提高烏龍茶之獨特香味，夏季應減少施藥次數。</t>
    </r>
    <phoneticPr fontId="1" type="noConversion"/>
  </si>
  <si>
    <t>生物防治：釋放天敵昆蟲基徵草蛉及瓢蟲等</t>
    <phoneticPr fontId="1" type="noConversion"/>
  </si>
  <si>
    <t>1.耕作防治：縮短採茶週期可減輕其危害。
2.物理防治： (1)發現成蟲出現時，以人工摘除卵塊。(2)使用誘蟲燈進行夜間誘殺成蟲。
3.生物防治： 
4.化學防治：可分別選用2.8%畢芬寧乳劑2000倍、50%加保利可濕性粉劑500倍、10%美文松乳劑或溶液650-750倍、85%加保利可濕性粉劑850倍、或95%三氯松水溶性粉劑750倍來防治。</t>
    <phoneticPr fontId="1" type="noConversion"/>
  </si>
  <si>
    <t>1.耕作防治：種植前或休閒期如發現本蟲幼蟲或蛹之密度高時，可灌水淹蓋全園，以殺死土中之蛹與幼蟲。清除殘株及雜草以減少本蟲之隱蔽場所。
2.物理防治：(1)使用誘蟲燈進行夜間誘殺成蟲。(2)使用性費洛蒙誘殺雄成蟲。(3)如發現卵塊或初齡幼蟲時，宜及時摘除及銷燬。
3.生物防治：可使用48.1%蘇力菌水分散性粒劑1000倍來防治。 
4.化學防治：</t>
    <phoneticPr fontId="1" type="noConversion"/>
  </si>
  <si>
    <t>1.耕作防治：應於冬季剪枝及除草時去除不必要的枝條及雜草，所剪除的枝條及雜草應迅速清離園區，以減少葉蟎越冬之棲息地。提早採茶，也可減少葉蟎危害嫩葉的機會。茶園增設噴灌設施，可減少茶葉蟎發生的密度。
2.生物防治：茶葉面有葉蟎出現時，每公頃每次釋放補植蟎5萬隻。
3.化學防治：可分別選用4%畢汰芬水懸劑3000倍、50%汰芬隆可濕性粉劑1500倍、2.8%畢芬寧乳劑2000倍、20%畢達本可濕性粉劑2000倍、5%芬普蹣水懸劑2000倍、80%可濕性硫黃水分散性粒劑或粉劑400倍、或25%蟎離丹可濕性粉劑1000倍來防治。</t>
    <phoneticPr fontId="1" type="noConversion"/>
  </si>
  <si>
    <r>
      <t>1.</t>
    </r>
    <r>
      <rPr>
        <sz val="10"/>
        <color theme="1"/>
        <rFont val="細明體"/>
        <family val="3"/>
        <charset val="136"/>
      </rPr>
      <t xml:space="preserve">耕作防治：冬季進行剪枝及清園以減少葉蟎越冬之棲息地。
</t>
    </r>
    <r>
      <rPr>
        <sz val="10"/>
        <color theme="1"/>
        <rFont val="Times New Roman"/>
        <family val="1"/>
      </rPr>
      <t>2.</t>
    </r>
    <r>
      <rPr>
        <sz val="10"/>
        <color theme="1"/>
        <rFont val="細明體"/>
        <family val="3"/>
        <charset val="136"/>
      </rPr>
      <t>生物防治：茶葉面有蟎蜱類出現時，每公頃每次釋放補植蟎</t>
    </r>
    <r>
      <rPr>
        <sz val="10"/>
        <color theme="1"/>
        <rFont val="Times New Roman"/>
        <family val="1"/>
      </rPr>
      <t>5</t>
    </r>
    <r>
      <rPr>
        <sz val="10"/>
        <color theme="1"/>
        <rFont val="細明體"/>
        <family val="3"/>
        <charset val="136"/>
      </rPr>
      <t xml:space="preserve">萬隻。
</t>
    </r>
    <r>
      <rPr>
        <sz val="10"/>
        <color theme="1"/>
        <rFont val="Times New Roman"/>
        <family val="1"/>
      </rPr>
      <t>3.</t>
    </r>
    <r>
      <rPr>
        <sz val="10"/>
        <color theme="1"/>
        <rFont val="細明體"/>
        <family val="3"/>
        <charset val="136"/>
      </rPr>
      <t>化學防治：</t>
    </r>
    <phoneticPr fontId="1" type="noConversion"/>
  </si>
  <si>
    <r>
      <t xml:space="preserve">1. </t>
    </r>
    <r>
      <rPr>
        <sz val="10"/>
        <color theme="1"/>
        <rFont val="細明體"/>
        <family val="3"/>
        <charset val="136"/>
      </rPr>
      <t>耕作防治：</t>
    </r>
    <r>
      <rPr>
        <sz val="10"/>
        <color theme="1"/>
        <rFont val="Times New Roman"/>
        <family val="1"/>
      </rPr>
      <t xml:space="preserve"> </t>
    </r>
    <r>
      <rPr>
        <sz val="10"/>
        <color theme="1"/>
        <rFont val="細明體"/>
        <family val="3"/>
        <charset val="136"/>
      </rPr>
      <t xml:space="preserve">冬季修剪枝應將裙枝剪除，保持茶園良好通風。
</t>
    </r>
    <r>
      <rPr>
        <sz val="10"/>
        <color theme="1"/>
        <rFont val="Times New Roman"/>
        <family val="1"/>
      </rPr>
      <t xml:space="preserve">2. </t>
    </r>
    <r>
      <rPr>
        <sz val="10"/>
        <color theme="1"/>
        <rFont val="細明體"/>
        <family val="3"/>
        <charset val="136"/>
      </rPr>
      <t>物理防治：黃色黏紙約</t>
    </r>
    <r>
      <rPr>
        <sz val="10"/>
        <color theme="1"/>
        <rFont val="Times New Roman"/>
        <family val="1"/>
      </rPr>
      <t>5</t>
    </r>
    <r>
      <rPr>
        <sz val="10"/>
        <color theme="1"/>
        <rFont val="細明體"/>
        <family val="3"/>
        <charset val="136"/>
      </rPr>
      <t>公尺設置一處，高度約離茶樹冠面</t>
    </r>
    <r>
      <rPr>
        <sz val="10"/>
        <color theme="1"/>
        <rFont val="Times New Roman"/>
        <family val="1"/>
      </rPr>
      <t>10</t>
    </r>
    <r>
      <rPr>
        <sz val="10"/>
        <color theme="1"/>
        <rFont val="細明體"/>
        <family val="3"/>
        <charset val="136"/>
      </rPr>
      <t xml:space="preserve">公分，黏性降低時更換。
</t>
    </r>
    <r>
      <rPr>
        <sz val="10"/>
        <color theme="1"/>
        <rFont val="Times New Roman"/>
        <family val="1"/>
      </rPr>
      <t xml:space="preserve">3. </t>
    </r>
    <r>
      <rPr>
        <sz val="10"/>
        <color theme="1"/>
        <rFont val="細明體"/>
        <family val="3"/>
        <charset val="136"/>
      </rPr>
      <t xml:space="preserve">生物防治：
</t>
    </r>
    <r>
      <rPr>
        <sz val="10"/>
        <color theme="1"/>
        <rFont val="Times New Roman"/>
        <family val="1"/>
      </rPr>
      <t xml:space="preserve">4. </t>
    </r>
    <r>
      <rPr>
        <sz val="10"/>
        <color theme="1"/>
        <rFont val="細明體"/>
        <family val="3"/>
        <charset val="136"/>
      </rPr>
      <t>化學防治：</t>
    </r>
    <phoneticPr fontId="1" type="noConversion"/>
  </si>
  <si>
    <t>1. 耕作防治：適當整枝修剪及調整栽培密度，可改善茶園通風性，降低介殼蟲發生密度。
2. 物理防治：發生初期用人工捕殺。大多數分泌蜜露的介殼蟲及粉蚧，都住在蟻穴中或於暴露的枝葉上受螞蟻保護，若破壞蟻穴，殺死螞蟻，則介殼蟲及粉蚧都會消失，但若還有介殼蟲留在茶樹上活動，則可能附近的螞蟻又會前來，所以應該同時把介殼蟲殺死。
3. 化學防治：可分別選用40.8%陶斯松乳劑1000倍、或40%滅大松乳劑1000倍來防治。</t>
    <phoneticPr fontId="1" type="noConversion"/>
  </si>
  <si>
    <t>1.耕作防治：縮短採茶週期可減輕其危害。
2.物理防治： (1)發現成蟲出現時，以人工摘除卵塊。(2)使用誘蟲燈進行夜間誘殺成蟲。(3)若為茶捲葉蛾及茶姬捲葉蛾者，可使用性費洛蒙誘殺雄成蟲，從2月中旬開始至9月為止，受害茶園每隔20公尺設一誘蟲盒，誘蟲盒懸掛在離茶樹採摘面約45公分處，引誘源每一個月更換一次。。
3.生物防治：茶捲葉蛾成蟲高蜂期，每公頃茶園釋放100片赤眼卵寄生蜂蜂片，每月釋放1~3次。  如採卵時遇卵塊變黑的，是寄生蜂寄生的卵塊(非寄生的為黃色)，可用盤盛水，滴以石油或種子油，中置金屬空罐，放入寄生卵塊，使羽化後的寄生蜂可飛逸，而孵化後的幼蟲爬入油水中而死。
4.化學防治：可分別選用2.8%畢芬寧乳劑2000倍、50%加保利可濕性粉劑500倍、10%美文松乳劑或溶液650-750倍、85%加保利可濕性粉劑850倍、或95%三氯松水溶性粉劑750倍來防治。</t>
    <phoneticPr fontId="1" type="noConversion"/>
  </si>
  <si>
    <r>
      <t>1.</t>
    </r>
    <r>
      <rPr>
        <sz val="10"/>
        <color theme="1"/>
        <rFont val="細明體"/>
        <family val="3"/>
        <charset val="136"/>
      </rPr>
      <t xml:space="preserve">耕作防治：縮短採茶週期可減輕其危害。
</t>
    </r>
    <r>
      <rPr>
        <sz val="10"/>
        <color theme="1"/>
        <rFont val="Times New Roman"/>
        <family val="1"/>
      </rPr>
      <t>2.</t>
    </r>
    <r>
      <rPr>
        <sz val="10"/>
        <color theme="1"/>
        <rFont val="細明體"/>
        <family val="3"/>
        <charset val="136"/>
      </rPr>
      <t>物理防治：</t>
    </r>
    <r>
      <rPr>
        <sz val="10"/>
        <color theme="1"/>
        <rFont val="Times New Roman"/>
        <family val="1"/>
      </rPr>
      <t xml:space="preserve"> (1)</t>
    </r>
    <r>
      <rPr>
        <sz val="10"/>
        <color theme="1"/>
        <rFont val="細明體"/>
        <family val="3"/>
        <charset val="136"/>
      </rPr>
      <t>發現成蟲出現時，以人工摘除卵塊。</t>
    </r>
    <r>
      <rPr>
        <sz val="10"/>
        <color theme="1"/>
        <rFont val="Times New Roman"/>
        <family val="1"/>
      </rPr>
      <t>(2)</t>
    </r>
    <r>
      <rPr>
        <sz val="10"/>
        <color theme="1"/>
        <rFont val="細明體"/>
        <family val="3"/>
        <charset val="136"/>
      </rPr>
      <t>使用誘蟲燈進行夜間誘殺成蟲。</t>
    </r>
    <r>
      <rPr>
        <sz val="10"/>
        <color theme="1"/>
        <rFont val="Times New Roman"/>
        <family val="1"/>
      </rPr>
      <t>(3)</t>
    </r>
    <r>
      <rPr>
        <sz val="10"/>
        <color theme="1"/>
        <rFont val="細明體"/>
        <family val="3"/>
        <charset val="136"/>
      </rPr>
      <t>若為茶捲葉蛾及茶姬捲葉蛾者，可使用性費洛蒙誘殺雄成蟲，從</t>
    </r>
    <r>
      <rPr>
        <sz val="10"/>
        <color theme="1"/>
        <rFont val="Times New Roman"/>
        <family val="1"/>
      </rPr>
      <t>2</t>
    </r>
    <r>
      <rPr>
        <sz val="10"/>
        <color theme="1"/>
        <rFont val="細明體"/>
        <family val="3"/>
        <charset val="136"/>
      </rPr>
      <t>月中旬開始至</t>
    </r>
    <r>
      <rPr>
        <sz val="10"/>
        <color theme="1"/>
        <rFont val="Times New Roman"/>
        <family val="1"/>
      </rPr>
      <t>9</t>
    </r>
    <r>
      <rPr>
        <sz val="10"/>
        <color theme="1"/>
        <rFont val="細明體"/>
        <family val="3"/>
        <charset val="136"/>
      </rPr>
      <t>月為止，受害茶園每隔</t>
    </r>
    <r>
      <rPr>
        <sz val="10"/>
        <color theme="1"/>
        <rFont val="Times New Roman"/>
        <family val="1"/>
      </rPr>
      <t>20</t>
    </r>
    <r>
      <rPr>
        <sz val="10"/>
        <color theme="1"/>
        <rFont val="細明體"/>
        <family val="3"/>
        <charset val="136"/>
      </rPr>
      <t>公尺設一誘蟲盒，誘蟲盒懸掛在離茶樹採摘面約</t>
    </r>
    <r>
      <rPr>
        <sz val="10"/>
        <color theme="1"/>
        <rFont val="Times New Roman"/>
        <family val="1"/>
      </rPr>
      <t>45</t>
    </r>
    <r>
      <rPr>
        <sz val="10"/>
        <color theme="1"/>
        <rFont val="細明體"/>
        <family val="3"/>
        <charset val="136"/>
      </rPr>
      <t xml:space="preserve">公分處，引誘源每一個月更換一次。
</t>
    </r>
    <r>
      <rPr>
        <sz val="10"/>
        <color theme="1"/>
        <rFont val="Times New Roman"/>
        <family val="1"/>
      </rPr>
      <t>3.</t>
    </r>
    <r>
      <rPr>
        <sz val="10"/>
        <color theme="1"/>
        <rFont val="細明體"/>
        <family val="3"/>
        <charset val="136"/>
      </rPr>
      <t>生物防治：茶捲葉蛾成蟲高蜂期，每公頃茶園釋放</t>
    </r>
    <r>
      <rPr>
        <sz val="10"/>
        <color theme="1"/>
        <rFont val="Times New Roman"/>
        <family val="1"/>
      </rPr>
      <t>100</t>
    </r>
    <r>
      <rPr>
        <sz val="10"/>
        <color theme="1"/>
        <rFont val="細明體"/>
        <family val="3"/>
        <charset val="136"/>
      </rPr>
      <t>片赤眼卵寄生蜂蜂片，每月釋放</t>
    </r>
    <r>
      <rPr>
        <sz val="10"/>
        <color theme="1"/>
        <rFont val="Times New Roman"/>
        <family val="1"/>
      </rPr>
      <t>1~3</t>
    </r>
    <r>
      <rPr>
        <sz val="10"/>
        <color theme="1"/>
        <rFont val="細明體"/>
        <family val="3"/>
        <charset val="136"/>
      </rPr>
      <t>次。</t>
    </r>
    <r>
      <rPr>
        <sz val="10"/>
        <color theme="1"/>
        <rFont val="Times New Roman"/>
        <family val="1"/>
      </rPr>
      <t xml:space="preserve"> </t>
    </r>
    <r>
      <rPr>
        <sz val="10"/>
        <color theme="1"/>
        <rFont val="細明體"/>
        <family val="3"/>
        <charset val="136"/>
      </rPr>
      <t>如採卵時遇卵塊變黑的，是寄生蜂寄生的卵塊</t>
    </r>
    <r>
      <rPr>
        <sz val="10"/>
        <color theme="1"/>
        <rFont val="Times New Roman"/>
        <family val="1"/>
      </rPr>
      <t>(</t>
    </r>
    <r>
      <rPr>
        <sz val="10"/>
        <color theme="1"/>
        <rFont val="細明體"/>
        <family val="3"/>
        <charset val="136"/>
      </rPr>
      <t>非寄生的為黃色</t>
    </r>
    <r>
      <rPr>
        <sz val="10"/>
        <color theme="1"/>
        <rFont val="Times New Roman"/>
        <family val="1"/>
      </rPr>
      <t>)</t>
    </r>
    <r>
      <rPr>
        <sz val="10"/>
        <color theme="1"/>
        <rFont val="細明體"/>
        <family val="3"/>
        <charset val="136"/>
      </rPr>
      <t>，可用盤盛水，滴以石油或種子油，中置金屬空罐，放入寄生卵塊，使羽化後的寄生蜂可飛逸，而孵化後的幼蟲爬入油水中而死。</t>
    </r>
    <r>
      <rPr>
        <sz val="10"/>
        <color theme="1"/>
        <rFont val="Times New Roman"/>
        <family val="1"/>
      </rPr>
      <t xml:space="preserve">
4.</t>
    </r>
    <r>
      <rPr>
        <sz val="10"/>
        <color theme="1"/>
        <rFont val="細明體"/>
        <family val="3"/>
        <charset val="136"/>
      </rPr>
      <t>化學防治：可分別選用</t>
    </r>
    <r>
      <rPr>
        <sz val="10"/>
        <color theme="1"/>
        <rFont val="Times New Roman"/>
        <family val="1"/>
      </rPr>
      <t>50%</t>
    </r>
    <r>
      <rPr>
        <sz val="10"/>
        <color theme="1"/>
        <rFont val="細明體"/>
        <family val="3"/>
        <charset val="136"/>
      </rPr>
      <t>加福松乳劑</t>
    </r>
    <r>
      <rPr>
        <sz val="10"/>
        <color theme="1"/>
        <rFont val="Times New Roman"/>
        <family val="1"/>
      </rPr>
      <t>1000</t>
    </r>
    <r>
      <rPr>
        <sz val="10"/>
        <color theme="1"/>
        <rFont val="細明體"/>
        <family val="3"/>
        <charset val="136"/>
      </rPr>
      <t>倍、</t>
    </r>
    <r>
      <rPr>
        <sz val="10"/>
        <color theme="1"/>
        <rFont val="Times New Roman"/>
        <family val="1"/>
      </rPr>
      <t>2.8%</t>
    </r>
    <r>
      <rPr>
        <sz val="10"/>
        <color theme="1"/>
        <rFont val="細明體"/>
        <family val="3"/>
        <charset val="136"/>
      </rPr>
      <t>畢芬寧乳劑</t>
    </r>
    <r>
      <rPr>
        <sz val="10"/>
        <color theme="1"/>
        <rFont val="Times New Roman"/>
        <family val="1"/>
      </rPr>
      <t>2000</t>
    </r>
    <r>
      <rPr>
        <sz val="10"/>
        <color theme="1"/>
        <rFont val="細明體"/>
        <family val="3"/>
        <charset val="136"/>
      </rPr>
      <t>倍、</t>
    </r>
    <r>
      <rPr>
        <sz val="10"/>
        <color theme="1"/>
        <rFont val="Times New Roman"/>
        <family val="1"/>
      </rPr>
      <t>5%</t>
    </r>
    <r>
      <rPr>
        <sz val="10"/>
        <color theme="1"/>
        <rFont val="細明體"/>
        <family val="3"/>
        <charset val="136"/>
      </rPr>
      <t>克福隆乳劑</t>
    </r>
    <r>
      <rPr>
        <sz val="10"/>
        <color theme="1"/>
        <rFont val="Times New Roman"/>
        <family val="1"/>
      </rPr>
      <t>2000</t>
    </r>
    <r>
      <rPr>
        <sz val="10"/>
        <color theme="1"/>
        <rFont val="細明體"/>
        <family val="3"/>
        <charset val="136"/>
      </rPr>
      <t>倍、</t>
    </r>
    <r>
      <rPr>
        <sz val="10"/>
        <color theme="1"/>
        <rFont val="Times New Roman"/>
        <family val="1"/>
      </rPr>
      <t>50%</t>
    </r>
    <r>
      <rPr>
        <sz val="10"/>
        <color theme="1"/>
        <rFont val="細明體"/>
        <family val="3"/>
        <charset val="136"/>
      </rPr>
      <t>加保利可濕性粉劑</t>
    </r>
    <r>
      <rPr>
        <sz val="10"/>
        <color theme="1"/>
        <rFont val="Times New Roman"/>
        <family val="1"/>
      </rPr>
      <t>500</t>
    </r>
    <r>
      <rPr>
        <sz val="10"/>
        <color theme="1"/>
        <rFont val="細明體"/>
        <family val="3"/>
        <charset val="136"/>
      </rPr>
      <t>倍、</t>
    </r>
    <r>
      <rPr>
        <sz val="10"/>
        <color theme="1"/>
        <rFont val="Times New Roman"/>
        <family val="1"/>
      </rPr>
      <t>10%</t>
    </r>
    <r>
      <rPr>
        <sz val="10"/>
        <color theme="1"/>
        <rFont val="細明體"/>
        <family val="3"/>
        <charset val="136"/>
      </rPr>
      <t>美文松乳劑或溶液</t>
    </r>
    <r>
      <rPr>
        <sz val="10"/>
        <color theme="1"/>
        <rFont val="Times New Roman"/>
        <family val="1"/>
      </rPr>
      <t>650-750</t>
    </r>
    <r>
      <rPr>
        <sz val="10"/>
        <color theme="1"/>
        <rFont val="細明體"/>
        <family val="3"/>
        <charset val="136"/>
      </rPr>
      <t>倍、</t>
    </r>
    <r>
      <rPr>
        <sz val="10"/>
        <color theme="1"/>
        <rFont val="Times New Roman"/>
        <family val="1"/>
      </rPr>
      <t>85%</t>
    </r>
    <r>
      <rPr>
        <sz val="10"/>
        <color theme="1"/>
        <rFont val="細明體"/>
        <family val="3"/>
        <charset val="136"/>
      </rPr>
      <t>加保利可濕性粉劑</t>
    </r>
    <r>
      <rPr>
        <sz val="10"/>
        <color theme="1"/>
        <rFont val="Times New Roman"/>
        <family val="1"/>
      </rPr>
      <t>850</t>
    </r>
    <r>
      <rPr>
        <sz val="10"/>
        <color theme="1"/>
        <rFont val="細明體"/>
        <family val="3"/>
        <charset val="136"/>
      </rPr>
      <t>倍、或</t>
    </r>
    <r>
      <rPr>
        <sz val="10"/>
        <color theme="1"/>
        <rFont val="Times New Roman"/>
        <family val="1"/>
      </rPr>
      <t>95%</t>
    </r>
    <r>
      <rPr>
        <sz val="10"/>
        <color theme="1"/>
        <rFont val="細明體"/>
        <family val="3"/>
        <charset val="136"/>
      </rPr>
      <t>三氯松水溶性粉劑</t>
    </r>
    <r>
      <rPr>
        <sz val="10"/>
        <color theme="1"/>
        <rFont val="Times New Roman"/>
        <family val="1"/>
      </rPr>
      <t>720</t>
    </r>
    <r>
      <rPr>
        <sz val="10"/>
        <color theme="1"/>
        <rFont val="細明體"/>
        <family val="3"/>
        <charset val="136"/>
      </rPr>
      <t>倍來防治。</t>
    </r>
    <phoneticPr fontId="1" type="noConversion"/>
  </si>
  <si>
    <r>
      <t>1.</t>
    </r>
    <r>
      <rPr>
        <sz val="10"/>
        <color theme="1"/>
        <rFont val="細明體"/>
        <family val="3"/>
        <charset val="136"/>
      </rPr>
      <t>耕作防治：</t>
    </r>
    <r>
      <rPr>
        <sz val="10"/>
        <color theme="1"/>
        <rFont val="Times New Roman"/>
        <family val="1"/>
      </rPr>
      <t>(1)</t>
    </r>
    <r>
      <rPr>
        <sz val="10"/>
        <color theme="1"/>
        <rFont val="細明體"/>
        <family val="3"/>
        <charset val="136"/>
      </rPr>
      <t>發現被害枝條或植株時，即予剪除燒毀。如欲保存被害植株，可注入</t>
    </r>
    <r>
      <rPr>
        <sz val="10"/>
        <color theme="1"/>
        <rFont val="Times New Roman"/>
        <family val="1"/>
      </rPr>
      <t>1</t>
    </r>
    <r>
      <rPr>
        <sz val="10"/>
        <color theme="1"/>
        <rFont val="細明體"/>
        <family val="3"/>
        <charset val="136"/>
      </rPr>
      <t>公撮之二硫化碳</t>
    </r>
    <r>
      <rPr>
        <sz val="10"/>
        <color theme="1"/>
        <rFont val="Times New Roman"/>
        <family val="1"/>
      </rPr>
      <t>(CS2)</t>
    </r>
    <r>
      <rPr>
        <sz val="10"/>
        <color theme="1"/>
        <rFont val="細明體"/>
        <family val="3"/>
        <charset val="136"/>
      </rPr>
      <t>或氯化苦</t>
    </r>
    <r>
      <rPr>
        <sz val="10"/>
        <color theme="1"/>
        <rFont val="Times New Roman"/>
        <family val="1"/>
      </rPr>
      <t>(Chloropricrin)</t>
    </r>
    <r>
      <rPr>
        <sz val="10"/>
        <color theme="1"/>
        <rFont val="細明體"/>
        <family val="3"/>
        <charset val="136"/>
      </rPr>
      <t>於被害孔內，再以黏土封閉孔口。此外，亦可將百步草</t>
    </r>
    <r>
      <rPr>
        <sz val="10"/>
        <color theme="1"/>
        <rFont val="Times New Roman"/>
        <family val="1"/>
      </rPr>
      <t>(Stemona  japonica Mig.)</t>
    </r>
    <r>
      <rPr>
        <sz val="10"/>
        <color theme="1"/>
        <rFont val="細明體"/>
        <family val="3"/>
        <charset val="136"/>
      </rPr>
      <t>或鐵絲插入被害孔內刺死幼蟲，可達防治效果。</t>
    </r>
    <r>
      <rPr>
        <sz val="10"/>
        <color theme="1"/>
        <rFont val="Times New Roman"/>
        <family val="1"/>
      </rPr>
      <t>(2)</t>
    </r>
    <r>
      <rPr>
        <sz val="10"/>
        <color theme="1"/>
        <rFont val="細明體"/>
        <family val="3"/>
        <charset val="136"/>
      </rPr>
      <t xml:space="preserve">加強茶園水份管理。
</t>
    </r>
    <r>
      <rPr>
        <sz val="10"/>
        <color theme="1"/>
        <rFont val="Times New Roman"/>
        <family val="1"/>
      </rPr>
      <t xml:space="preserve">2. </t>
    </r>
    <r>
      <rPr>
        <sz val="10"/>
        <color theme="1"/>
        <rFont val="細明體"/>
        <family val="3"/>
        <charset val="136"/>
      </rPr>
      <t>生物防治：天敵有寄生蠅</t>
    </r>
    <r>
      <rPr>
        <sz val="10"/>
        <color theme="1"/>
        <rFont val="Times New Roman"/>
        <family val="1"/>
      </rPr>
      <t>(Tachinids)</t>
    </r>
    <r>
      <rPr>
        <sz val="10"/>
        <color theme="1"/>
        <rFont val="細明體"/>
        <family val="3"/>
        <charset val="136"/>
      </rPr>
      <t>及小繭蜂</t>
    </r>
    <r>
      <rPr>
        <sz val="10"/>
        <color theme="1"/>
        <rFont val="Times New Roman"/>
        <family val="1"/>
      </rPr>
      <t>(Braconids)</t>
    </r>
    <r>
      <rPr>
        <sz val="10"/>
        <color theme="1"/>
        <rFont val="細明體"/>
        <family val="3"/>
        <charset val="136"/>
      </rPr>
      <t>及寄生於幼蟲之白殭菌</t>
    </r>
    <r>
      <rPr>
        <sz val="10"/>
        <color theme="1"/>
        <rFont val="Times New Roman"/>
        <family val="1"/>
      </rPr>
      <t>(Botrytis basiana Balisamo)</t>
    </r>
    <r>
      <rPr>
        <sz val="10"/>
        <color theme="1"/>
        <rFont val="細明體"/>
        <family val="3"/>
        <charset val="136"/>
      </rPr>
      <t xml:space="preserve">等。另外，幼蟲外出遷居時亦受螞蟻之傷害。
</t>
    </r>
    <r>
      <rPr>
        <sz val="10"/>
        <color theme="1"/>
        <rFont val="Times New Roman"/>
        <family val="1"/>
      </rPr>
      <t xml:space="preserve">3. </t>
    </r>
    <r>
      <rPr>
        <sz val="10"/>
        <color theme="1"/>
        <rFont val="細明體"/>
        <family val="3"/>
        <charset val="136"/>
      </rPr>
      <t xml:space="preserve">化學防治：在春季及秋季羽化期適時施用藥劑可一併防除其他同時發生的害蟲，如小白紋毒蛾、台灣黃毒蛾、斜紋夜蛾等。
</t>
    </r>
    <phoneticPr fontId="1" type="noConversion"/>
  </si>
  <si>
    <r>
      <t xml:space="preserve">1. </t>
    </r>
    <r>
      <rPr>
        <sz val="10"/>
        <color theme="1"/>
        <rFont val="細明體"/>
        <family val="3"/>
        <charset val="136"/>
      </rPr>
      <t>耕作防治：適當整枝修剪及調整栽培密度，可改善茶園通風性，降低介殼蟲發生密度。蟲口多的茶園，在冬季進行重修剪可減少枝梢蟲口密度</t>
    </r>
    <r>
      <rPr>
        <sz val="10"/>
        <color theme="1"/>
        <rFont val="Times New Roman"/>
        <family val="1"/>
      </rPr>
      <t>68</t>
    </r>
    <r>
      <rPr>
        <sz val="10"/>
        <color theme="1"/>
        <rFont val="細明體"/>
        <family val="3"/>
        <charset val="136"/>
      </rPr>
      <t>％以上，冬季疏枝可使蟲口密度降低</t>
    </r>
    <r>
      <rPr>
        <sz val="10"/>
        <color theme="1"/>
        <rFont val="Times New Roman"/>
        <family val="1"/>
      </rPr>
      <t>32</t>
    </r>
    <r>
      <rPr>
        <sz val="10"/>
        <color theme="1"/>
        <rFont val="細明體"/>
        <family val="3"/>
        <charset val="136"/>
      </rPr>
      <t xml:space="preserve">％。如嚴重發生時，必須徹底清園，剪除被害枝條或配合台刈並燒燬。
</t>
    </r>
    <r>
      <rPr>
        <sz val="10"/>
        <color theme="1"/>
        <rFont val="Times New Roman"/>
        <family val="1"/>
      </rPr>
      <t xml:space="preserve">2. </t>
    </r>
    <r>
      <rPr>
        <sz val="10"/>
        <color theme="1"/>
        <rFont val="細明體"/>
        <family val="3"/>
        <charset val="136"/>
      </rPr>
      <t xml:space="preserve">物理防治：發生初期用人工捕殺。大多數分泌蜜露的介殼蟲及粉蚧，都住在蟻穴中或於暴露的枝葉上受螞蟻保護，若破壞蟻穴，殺死螞蟻，則介殼蟲及粉蚧都會消失，但若還有介殼蟲留在茶樹上活動，則可能附近的螞蟻又會前來，所以應該同時把介殼蟲殺死。
</t>
    </r>
    <r>
      <rPr>
        <sz val="10"/>
        <color theme="1"/>
        <rFont val="Times New Roman"/>
        <family val="1"/>
      </rPr>
      <t xml:space="preserve">3. </t>
    </r>
    <r>
      <rPr>
        <sz val="10"/>
        <color theme="1"/>
        <rFont val="細明體"/>
        <family val="3"/>
        <charset val="136"/>
      </rPr>
      <t>化學防治：配合春季或冬季修剪，此時適逢若蟲孵化期，可分別選用</t>
    </r>
    <r>
      <rPr>
        <sz val="10"/>
        <color theme="1"/>
        <rFont val="Times New Roman"/>
        <family val="1"/>
      </rPr>
      <t>40%</t>
    </r>
    <r>
      <rPr>
        <sz val="10"/>
        <color theme="1"/>
        <rFont val="細明體"/>
        <family val="3"/>
        <charset val="136"/>
      </rPr>
      <t>滅大松乳劑、</t>
    </r>
    <r>
      <rPr>
        <sz val="10"/>
        <color theme="1"/>
        <rFont val="Times New Roman"/>
        <family val="1"/>
      </rPr>
      <t>44</t>
    </r>
    <r>
      <rPr>
        <sz val="10"/>
        <color theme="1"/>
        <rFont val="細明體"/>
        <family val="3"/>
        <charset val="136"/>
      </rPr>
      <t>％大滅松乳劑或</t>
    </r>
    <r>
      <rPr>
        <sz val="10"/>
        <color theme="1"/>
        <rFont val="Times New Roman"/>
        <family val="1"/>
      </rPr>
      <t>40.8</t>
    </r>
    <r>
      <rPr>
        <sz val="10"/>
        <color theme="1"/>
        <rFont val="細明體"/>
        <family val="3"/>
        <charset val="136"/>
      </rPr>
      <t>％陶斯松乳劑各</t>
    </r>
    <r>
      <rPr>
        <sz val="10"/>
        <color theme="1"/>
        <rFont val="Times New Roman"/>
        <family val="1"/>
      </rPr>
      <t>1000</t>
    </r>
    <r>
      <rPr>
        <sz val="10"/>
        <color theme="1"/>
        <rFont val="細明體"/>
        <family val="3"/>
        <charset val="136"/>
      </rPr>
      <t>倍來防治，如能再配合</t>
    </r>
    <r>
      <rPr>
        <sz val="10"/>
        <color theme="1"/>
        <rFont val="Times New Roman"/>
        <family val="1"/>
      </rPr>
      <t>95</t>
    </r>
    <r>
      <rPr>
        <sz val="10"/>
        <color theme="1"/>
        <rFont val="細明體"/>
        <family val="3"/>
        <charset val="136"/>
      </rPr>
      <t>％夏油乳劑</t>
    </r>
    <r>
      <rPr>
        <sz val="10"/>
        <color theme="1"/>
        <rFont val="Times New Roman"/>
        <family val="1"/>
      </rPr>
      <t>150</t>
    </r>
    <r>
      <rPr>
        <sz val="10"/>
        <color theme="1"/>
        <rFont val="細明體"/>
        <family val="3"/>
        <charset val="136"/>
      </rPr>
      <t>倍混合使用，效果更好。用藥防治之時機，以初齡若蟲期最為適宜。
注意在茶樹萌芽期、採收期或夏季修剪時，若氣溫太高，嚴禁使用</t>
    </r>
    <r>
      <rPr>
        <sz val="10"/>
        <color theme="1"/>
        <rFont val="Times New Roman"/>
        <family val="1"/>
      </rPr>
      <t>95</t>
    </r>
    <r>
      <rPr>
        <sz val="10"/>
        <color theme="1"/>
        <rFont val="細明體"/>
        <family val="3"/>
        <charset val="136"/>
      </rPr>
      <t>％夏油乳劑，以防止藥害及殘毒，導致影響茶菁品質和產量。
在初齡若蟲發生期間，應每隔</t>
    </r>
    <r>
      <rPr>
        <sz val="10"/>
        <color theme="1"/>
        <rFont val="Times New Roman"/>
        <family val="1"/>
      </rPr>
      <t>10</t>
    </r>
    <r>
      <rPr>
        <sz val="10"/>
        <color theme="1"/>
        <rFont val="細明體"/>
        <family val="3"/>
        <charset val="136"/>
      </rPr>
      <t>天連續噴藥二次方能徹底防治，否則到第二、三齡蟲體完全被白蠟質物所覆時，其防治率只剩</t>
    </r>
    <r>
      <rPr>
        <sz val="10"/>
        <color theme="1"/>
        <rFont val="Times New Roman"/>
        <family val="1"/>
      </rPr>
      <t>45</t>
    </r>
    <r>
      <rPr>
        <sz val="10"/>
        <color theme="1"/>
        <rFont val="細明體"/>
        <family val="3"/>
        <charset val="136"/>
      </rPr>
      <t xml:space="preserve">％。
</t>
    </r>
    <phoneticPr fontId="1" type="noConversion"/>
  </si>
  <si>
    <t>1.耕作防治：冬季施行深耕，將土中之蛹翻出曝曬。
2.物理防治：利用幼蟲群聚習性行人工捕殺或摘除卵塊（在成蟲出現時）。
3.生物防治：每分地每次釋放茶蠶黑卵蜂成蟲100隻，春茶及秋茶成蟲活動期各釋放1次。
4.化學防治：發生較多時可進行點噴式施藥，可分別選用11.6%賜諾殺水懸劑或9.6%益達胺溶液各2000倍來防治。</t>
    <phoneticPr fontId="1" type="noConversion"/>
  </si>
  <si>
    <r>
      <t>1.</t>
    </r>
    <r>
      <rPr>
        <sz val="10"/>
        <color theme="1"/>
        <rFont val="細明體"/>
        <family val="3"/>
        <charset val="136"/>
      </rPr>
      <t xml:space="preserve">耕作防治：成蟲出現產卵期間，徹底清除雜草。
</t>
    </r>
    <r>
      <rPr>
        <sz val="10"/>
        <color theme="1"/>
        <rFont val="Times New Roman"/>
        <family val="1"/>
      </rPr>
      <t>2.</t>
    </r>
    <r>
      <rPr>
        <sz val="10"/>
        <color theme="1"/>
        <rFont val="細明體"/>
        <family val="3"/>
        <charset val="136"/>
      </rPr>
      <t>物理防治：成蟲出現高峰期，以誘蟲燈誘殺成蟲。</t>
    </r>
    <phoneticPr fontId="1" type="noConversion"/>
  </si>
  <si>
    <t>1.耕作防治：(1)枯木倒樹應立即加以處理，勿任意棄置茶園中。(2)鋤草時力行深耕，以破壞蟻穴。(3)加強田間水分管理，避免過度乾旱。
2.物理防治：翻檢近根部之土壤，破壞蟻巢，捕殺蟻后。</t>
    <phoneticPr fontId="1" type="noConversion"/>
  </si>
  <si>
    <t>1. 耕作防治：(1)改善茶園環境，注意茶園排水，降低茶園濕度，增加日照時間及通風。(2)施用氮肥過多之茶樹亦易感染本病，肥料施用時應注意肥料三要素的配合。(3)本病之傳染源為擔孢子(病徵上之白色粉狀物)，可緊密附著在物體表面，因此在病區採茶之工人或減枝機械應避免再去採、剪健康茶園之茶樹。
2.化學防治：(1)發病初期病斑呈現如針狀時即開始施藥防治。(2)可分別選用23.6%百克敏乳劑3000倍、15%易胺座可濕性粉劑2000倍、30%賽福座可濕性粉劑2000倍、或84.2%三得芬乳劑2000倍來防治。</t>
    <phoneticPr fontId="1" type="noConversion"/>
  </si>
  <si>
    <t>1.耕作防治：(1)注意茶園之田間衛生。(2)扦插母穗應取自管理良好無病蟲害之母樹園。
2.化學防治：可選用42.2%腈硫醌水懸劑1000倍來防治。</t>
    <phoneticPr fontId="1" type="noConversion"/>
  </si>
  <si>
    <r>
      <t>1.</t>
    </r>
    <r>
      <rPr>
        <sz val="10"/>
        <color theme="1"/>
        <rFont val="細明體"/>
        <family val="3"/>
        <charset val="136"/>
      </rPr>
      <t>耕作防治：</t>
    </r>
    <r>
      <rPr>
        <sz val="10"/>
        <color theme="1"/>
        <rFont val="Times New Roman"/>
        <family val="1"/>
      </rPr>
      <t>(1)</t>
    </r>
    <r>
      <rPr>
        <sz val="10"/>
        <color theme="1"/>
        <rFont val="細明體"/>
        <family val="3"/>
        <charset val="136"/>
      </rPr>
      <t>去除菌索與剪除附著菌索之枝條，並將其燒毀。</t>
    </r>
    <r>
      <rPr>
        <sz val="10"/>
        <color theme="1"/>
        <rFont val="Times New Roman"/>
        <family val="1"/>
      </rPr>
      <t>(2)</t>
    </r>
    <r>
      <rPr>
        <sz val="10"/>
        <color theme="1"/>
        <rFont val="細明體"/>
        <family val="3"/>
        <charset val="136"/>
      </rPr>
      <t>以火焰燒除法來清除茶叢間之菌索，火焰燒灼的時間以不傷及茶芽為主</t>
    </r>
    <r>
      <rPr>
        <sz val="10"/>
        <color theme="1"/>
        <rFont val="Times New Roman"/>
        <family val="1"/>
      </rPr>
      <t>(</t>
    </r>
    <r>
      <rPr>
        <sz val="10"/>
        <color theme="1"/>
        <rFont val="細明體"/>
        <family val="3"/>
        <charset val="136"/>
      </rPr>
      <t>進行第一次燒灼時，若能配合施行全園臺刈，效果更佳</t>
    </r>
    <r>
      <rPr>
        <sz val="10"/>
        <color theme="1"/>
        <rFont val="Times New Roman"/>
        <family val="1"/>
      </rPr>
      <t>)</t>
    </r>
    <r>
      <rPr>
        <sz val="10"/>
        <color theme="1"/>
        <rFont val="細明體"/>
        <family val="3"/>
        <charset val="136"/>
      </rPr>
      <t>，但必須每半年進行一次。</t>
    </r>
    <r>
      <rPr>
        <sz val="10"/>
        <color theme="1"/>
        <rFont val="Times New Roman"/>
        <family val="1"/>
      </rPr>
      <t>(3)</t>
    </r>
    <r>
      <rPr>
        <sz val="10"/>
        <color theme="1"/>
        <rFont val="細明體"/>
        <family val="3"/>
        <charset val="136"/>
      </rPr>
      <t xml:space="preserve">提升茶樹肥培管理以增強茶樹樹勢。
</t>
    </r>
    <phoneticPr fontId="1" type="noConversion"/>
  </si>
  <si>
    <t>1.耕作防治：(1)改善茶園環境，增加日照及通風以降低茶園濕度，使成為不適發病之環境。(2)加強茶樹肥培管理，以強健樹勢。(3)扦插前母樹先噴施殺菌劑，可防止茶苗發生赤葉枯病。
2.化學防治：可選用50%免賴得可濕性粉劑1000倍來防治。</t>
    <phoneticPr fontId="1" type="noConversion"/>
  </si>
  <si>
    <t xml:space="preserve">1.耕作防治：適宜的修剪，改善茶園內通風及採光。
2.化學防治：(1) 防治蚜蟲、介殼蟲及粉蝨等會誘發煤病的各種害蟲。
</t>
    <phoneticPr fontId="1" type="noConversion"/>
  </si>
  <si>
    <t>1.耕作防治：剪除病葉，疏植，使通風透光，以降低環境濕度。</t>
    <phoneticPr fontId="1" type="noConversion"/>
  </si>
  <si>
    <t>1.耕作防治：夏季時茶樹葉面應保持乾燥，不要殘留水珠，應避免在大熱天使用噴水設施進行灌溉。</t>
    <phoneticPr fontId="1" type="noConversion"/>
  </si>
  <si>
    <t>1.耕作防治：(1)高山茶區新開墾茶園應將前作植物根系完全清除，避免殘根成為病原。(2)發病輕微的茶園，可利用掘溝阻斷法防治本病擴散，並徹底清除殘留中的殘根。</t>
    <phoneticPr fontId="1" type="noConversion"/>
  </si>
  <si>
    <t>1.耕作防治：(1)種植綠肥作物如天仁菊、萬壽菊以降低土壤中線蟲密度。(2)茶園更新時須將土壤耕犁曝曬並休耕一年以上。(3)扦插用的充填土應取自無線蟲污染的壤土。(4)使用無土栽培的穴植管茶苗，可以減少苗床及本田線蟲的危害。(5)進口茶苗或種子須經檢疫或隔離栽培，以防從國外帶進危險性線蟲。</t>
    <phoneticPr fontId="1" type="noConversion"/>
  </si>
  <si>
    <t>害物檢索「蟎蜱類」包含：葉蟎類、茶細蟎、桔黃銹蜱及紫銹蜱等。</t>
    <phoneticPr fontId="1" type="noConversion"/>
  </si>
  <si>
    <t>害物檢索「葉蟎類」包含：神澤氏葉蟎、茶葉蟎及錫蘭偽葉蟎等</t>
    <phoneticPr fontId="1" type="noConversion"/>
  </si>
  <si>
    <t>害物檢索「椿象類」包含：茶角盲椿象、奎寧角盲椿象及茶綠盲椿象等。</t>
    <phoneticPr fontId="1" type="noConversion"/>
  </si>
  <si>
    <t>害物檢索「捲葉蛾類」包含：茶姬捲葉蛾、茶捲葉蛾、茶細蛾、黑姬捲葉蛾及茶絹扁腹蛾等。</t>
    <phoneticPr fontId="1" type="noConversion"/>
  </si>
  <si>
    <t>害物檢索「粉蝨類」包含：茶刺粉蝨及茶摺粉蝨等。</t>
    <phoneticPr fontId="1" type="noConversion"/>
  </si>
  <si>
    <t>害物檢索「介殼蟲類」包含：茶圓盾介殼蟲、角蠟介殼蟲、紫膠介殼蟲及粉介殼蟲等。</t>
    <phoneticPr fontId="1" type="noConversion"/>
  </si>
  <si>
    <t>害物檢索「山茶科作物鱗翅目害蟲」包含：茶蠶、毒蛾類、避債蛾類、捲葉蛾類、尺蠖蛾類、夜蛾類、刺蛾類及燈蛾類。</t>
    <phoneticPr fontId="1" type="noConversion"/>
  </si>
  <si>
    <t>位於北向陡坡？</t>
    <phoneticPr fontId="1" type="noConversion"/>
  </si>
  <si>
    <t>Hidden_Answer</t>
    <phoneticPr fontId="1" type="noConversion"/>
  </si>
  <si>
    <t>Analyze available satellite Image(s) ?</t>
    <phoneticPr fontId="1" type="noConversion"/>
  </si>
  <si>
    <t>Plant growth are unevenly distributed ?</t>
    <phoneticPr fontId="1" type="noConversion"/>
  </si>
  <si>
    <t>Analyze available UAV image(s) ?</t>
    <phoneticPr fontId="1" type="noConversion"/>
  </si>
  <si>
    <t>Using remote sensed image(s) for analysis ?</t>
    <phoneticPr fontId="1" type="noConversion"/>
  </si>
  <si>
    <t>Significant spatial variations of NDVI within the plantation (appeared all the time or only at certain tea seasons) ?</t>
    <phoneticPr fontId="1" type="noConversion"/>
  </si>
  <si>
    <t>Poor NDVI (&lt;0.5) appeared only at drought period ?</t>
    <phoneticPr fontId="1" type="noConversion"/>
  </si>
  <si>
    <t>Very high NDVI (&gt;0.9) appeared at winter season ?</t>
    <phoneticPr fontId="1" type="noConversion"/>
  </si>
  <si>
    <t>Significant spatial variations of NDWI within the plantation (appeared all the time or only at certain tea seasons) ?</t>
    <phoneticPr fontId="1" type="noConversion"/>
  </si>
  <si>
    <t>Plant height less than 30 cm ?</t>
    <phoneticPr fontId="1" type="noConversion"/>
  </si>
  <si>
    <t>Farmer can clearly describe the type and amount of fertilizers applied ?</t>
    <phoneticPr fontId="1" type="noConversion"/>
  </si>
  <si>
    <t>Farmer is interested in adopting recommended improvement strategies ?</t>
    <phoneticPr fontId="1" type="noConversion"/>
  </si>
  <si>
    <t>沒有過於頻繁灌溉的問題。</t>
    <phoneticPr fontId="1" type="noConversion"/>
  </si>
  <si>
    <t>#1241</t>
    <phoneticPr fontId="1" type="noConversion"/>
  </si>
  <si>
    <r>
      <rPr>
        <sz val="10"/>
        <color theme="1"/>
        <rFont val="細明體"/>
        <family val="3"/>
        <charset val="136"/>
      </rPr>
      <t>檢視</t>
    </r>
    <r>
      <rPr>
        <sz val="10"/>
        <color theme="1"/>
        <rFont val="Times New Roman"/>
        <family val="1"/>
      </rPr>
      <t>NDWI</t>
    </r>
    <r>
      <rPr>
        <sz val="10"/>
        <color theme="1"/>
        <rFont val="細明體"/>
        <family val="3"/>
        <charset val="136"/>
      </rPr>
      <t xml:space="preserve">分佈圖，是否存在有相差兩個級距以上的空間變異。
</t>
    </r>
    <r>
      <rPr>
        <sz val="10"/>
        <color theme="1"/>
        <rFont val="Times New Roman"/>
        <family val="1"/>
      </rPr>
      <t>NDWI</t>
    </r>
    <r>
      <rPr>
        <sz val="10"/>
        <color theme="1"/>
        <rFont val="細明體"/>
        <family val="3"/>
        <charset val="136"/>
      </rPr>
      <t>的空間變異可能會一直存在於所有茶季或僅在某些茶季才出現。</t>
    </r>
    <phoneticPr fontId="1" type="noConversion"/>
  </si>
  <si>
    <r>
      <t>NDWI</t>
    </r>
    <r>
      <rPr>
        <sz val="10"/>
        <color theme="1"/>
        <rFont val="細明體"/>
        <family val="3"/>
        <charset val="136"/>
      </rPr>
      <t>&lt;0(紅色)代表植株嚴重缺水。</t>
    </r>
    <phoneticPr fontId="1" type="noConversion"/>
  </si>
  <si>
    <t>詢問農民灌溉頻率是否低於每週一次。兩週噴灌一次應該已足夠。</t>
    <phoneticPr fontId="1" type="noConversion"/>
  </si>
  <si>
    <t>可能有灌溉過於頻繁的問題。</t>
    <phoneticPr fontId="1" type="noConversion"/>
  </si>
  <si>
    <t>#1301</t>
    <phoneticPr fontId="1" type="noConversion"/>
  </si>
  <si>
    <t>#1321</t>
    <phoneticPr fontId="1" type="noConversion"/>
  </si>
  <si>
    <t>病蟲害徵狀僅發生於局部地點？</t>
    <phoneticPr fontId="1" type="noConversion"/>
  </si>
  <si>
    <t>病蟲害問題不嚴重。</t>
    <phoneticPr fontId="1" type="noConversion"/>
  </si>
  <si>
    <t>病蟲害之發生可能因土壤和施肥方面的問題所引起。</t>
    <phoneticPr fontId="1" type="noConversion"/>
  </si>
  <si>
    <t>依據初步巡視結果，詢問茶農是否有嚴重病蟲害問題，或存在不正常的徵狀。
若不正常徵狀係最近才發生，而過去沒有，很可能與病蟲害有關。</t>
    <phoneticPr fontId="1" type="noConversion"/>
  </si>
  <si>
    <t xml:space="preserve">依據初步巡視結果，並詢問茶農病蟲害是否會蔓延。
</t>
    <phoneticPr fontId="1" type="noConversion"/>
  </si>
  <si>
    <t>No significan pest(s) and/or disease(s) symptoms observed ?</t>
    <phoneticPr fontId="1" type="noConversion"/>
  </si>
  <si>
    <r>
      <rPr>
        <sz val="10"/>
        <color theme="1"/>
        <rFont val="細明體"/>
        <family val="3"/>
        <charset val="136"/>
      </rPr>
      <t>儘量避免不必要的用藥，讓天敵在田間生存繁殖，增加天敵的族群密度。
注意噴藥時的風向及風速。茶園邊界設立隔離網，可減少鄰園農藥飛散污染。
茶樹准登記用藥及防治對象請依農藥資訊服務網公告為主</t>
    </r>
    <r>
      <rPr>
        <sz val="10"/>
        <color theme="1"/>
        <rFont val="Times New Roman"/>
        <family val="1"/>
      </rPr>
      <t xml:space="preserve"> (</t>
    </r>
    <r>
      <rPr>
        <sz val="10"/>
        <color theme="1"/>
        <rFont val="細明體"/>
        <family val="3"/>
        <charset val="136"/>
      </rPr>
      <t>即時更新最新公告</t>
    </r>
    <r>
      <rPr>
        <sz val="10"/>
        <color theme="1"/>
        <rFont val="Times New Roman"/>
        <family val="1"/>
      </rPr>
      <t>)</t>
    </r>
    <r>
      <rPr>
        <sz val="10"/>
        <color theme="1"/>
        <rFont val="細明體"/>
        <family val="3"/>
        <charset val="136"/>
      </rPr>
      <t xml:space="preserve">，或參閱農藥資訊整合檢索平台。
</t>
    </r>
    <r>
      <rPr>
        <sz val="10"/>
        <color theme="1"/>
        <rFont val="Times New Roman"/>
        <family val="1"/>
      </rPr>
      <t xml:space="preserve">1. </t>
    </r>
    <r>
      <rPr>
        <sz val="10"/>
        <color theme="1"/>
        <rFont val="細明體"/>
        <family val="3"/>
        <charset val="136"/>
      </rPr>
      <t>農藥資訊服務網</t>
    </r>
    <r>
      <rPr>
        <sz val="10"/>
        <color theme="1"/>
        <rFont val="Times New Roman"/>
        <family val="1"/>
      </rPr>
      <t>(http://pesticide.baphiq.gov.tw/)/</t>
    </r>
    <r>
      <rPr>
        <sz val="10"/>
        <color theme="1"/>
        <rFont val="細明體"/>
        <family val="3"/>
        <charset val="136"/>
      </rPr>
      <t>登記管理</t>
    </r>
    <r>
      <rPr>
        <sz val="10"/>
        <color theme="1"/>
        <rFont val="Times New Roman"/>
        <family val="1"/>
      </rPr>
      <t>/</t>
    </r>
    <r>
      <rPr>
        <sz val="10"/>
        <color theme="1"/>
        <rFont val="細明體"/>
        <family val="3"/>
        <charset val="136"/>
      </rPr>
      <t>病蟲害防治</t>
    </r>
    <r>
      <rPr>
        <sz val="10"/>
        <color theme="1"/>
        <rFont val="Times New Roman"/>
        <family val="1"/>
      </rPr>
      <t>/</t>
    </r>
    <r>
      <rPr>
        <sz val="10"/>
        <color theme="1"/>
        <rFont val="細明體"/>
        <family val="3"/>
        <charset val="136"/>
      </rPr>
      <t>作物分類名稱：茶類</t>
    </r>
    <r>
      <rPr>
        <sz val="10"/>
        <color theme="1"/>
        <rFont val="Times New Roman"/>
        <family val="1"/>
      </rPr>
      <t>/</t>
    </r>
    <r>
      <rPr>
        <sz val="10"/>
        <color theme="1"/>
        <rFont val="細明體"/>
        <family val="3"/>
        <charset val="136"/>
      </rPr>
      <t>山茶科茶類</t>
    </r>
    <r>
      <rPr>
        <sz val="10"/>
        <color theme="1"/>
        <rFont val="Times New Roman"/>
        <family val="1"/>
      </rPr>
      <t>/</t>
    </r>
    <r>
      <rPr>
        <sz val="10"/>
        <color theme="1"/>
        <rFont val="細明體"/>
        <family val="3"/>
        <charset val="136"/>
      </rPr>
      <t>茶</t>
    </r>
    <r>
      <rPr>
        <sz val="10"/>
        <color theme="1"/>
        <rFont val="Times New Roman"/>
        <family val="1"/>
      </rPr>
      <t xml:space="preserve"> </t>
    </r>
    <r>
      <rPr>
        <sz val="10"/>
        <color theme="1"/>
        <rFont val="細明體"/>
        <family val="3"/>
        <charset val="136"/>
      </rPr>
      <t xml:space="preserve">茶葉
</t>
    </r>
    <r>
      <rPr>
        <sz val="10"/>
        <color theme="1"/>
        <rFont val="Times New Roman"/>
        <family val="1"/>
      </rPr>
      <t xml:space="preserve">2. </t>
    </r>
    <r>
      <rPr>
        <sz val="10"/>
        <color theme="1"/>
        <rFont val="細明體"/>
        <family val="3"/>
        <charset val="136"/>
      </rPr>
      <t>農藥資訊整合檢索平台</t>
    </r>
    <r>
      <rPr>
        <sz val="10"/>
        <color theme="1"/>
        <rFont val="Times New Roman"/>
        <family val="1"/>
      </rPr>
      <t>(http://portal.tactri.gov.tw/)/</t>
    </r>
    <r>
      <rPr>
        <sz val="10"/>
        <color theme="1"/>
        <rFont val="細明體"/>
        <family val="3"/>
        <charset val="136"/>
      </rPr>
      <t>作物名稱：茶</t>
    </r>
    <phoneticPr fontId="1" type="noConversion"/>
  </si>
  <si>
    <t>可能影響產量之蟲害</t>
    <phoneticPr fontId="1" type="noConversion"/>
  </si>
  <si>
    <t>可能影響產量之病害</t>
    <phoneticPr fontId="1" type="noConversion"/>
  </si>
  <si>
    <t>SiteEvaluation-1302</t>
    <phoneticPr fontId="1" type="noConversion"/>
  </si>
  <si>
    <t>存在病蟲害防治問題。</t>
    <phoneticPr fontId="1" type="noConversion"/>
  </si>
  <si>
    <t>蟲害診斷</t>
    <phoneticPr fontId="1" type="noConversion"/>
  </si>
  <si>
    <t>沒有明顯的病蟲害徵狀？</t>
    <phoneticPr fontId="1" type="noConversion"/>
  </si>
  <si>
    <t>#1000</t>
    <phoneticPr fontId="1" type="noConversion"/>
  </si>
  <si>
    <t>#2101</t>
    <phoneticPr fontId="1" type="noConversion"/>
  </si>
  <si>
    <t>病害問題不嚴重。</t>
    <phoneticPr fontId="1" type="noConversion"/>
  </si>
  <si>
    <t>存在病害防治問題。</t>
    <phoneticPr fontId="1" type="noConversion"/>
  </si>
  <si>
    <t>蟲害問題不嚴重。</t>
    <phoneticPr fontId="1" type="noConversion"/>
  </si>
  <si>
    <t>存在蟲害防治問題。</t>
    <phoneticPr fontId="1" type="noConversion"/>
  </si>
  <si>
    <t>#2302</t>
    <phoneticPr fontId="1" type="noConversion"/>
  </si>
  <si>
    <t>#1402</t>
    <phoneticPr fontId="1" type="noConversion"/>
  </si>
  <si>
    <t>#1302</t>
    <phoneticPr fontId="1" type="noConversion"/>
  </si>
  <si>
    <t>#1202</t>
    <phoneticPr fontId="1" type="noConversion"/>
  </si>
  <si>
    <t>#1102</t>
    <phoneticPr fontId="1" type="noConversion"/>
  </si>
  <si>
    <t>#1101</t>
    <phoneticPr fontId="1" type="noConversion"/>
  </si>
  <si>
    <t>#2101</t>
    <phoneticPr fontId="1" type="noConversion"/>
  </si>
  <si>
    <r>
      <t xml:space="preserve">PestDiseases #1, #2 </t>
    </r>
    <r>
      <rPr>
        <sz val="10"/>
        <color theme="1"/>
        <rFont val="細明體"/>
        <family val="3"/>
        <charset val="136"/>
      </rPr>
      <t>會引用</t>
    </r>
    <phoneticPr fontId="1" type="noConversion"/>
  </si>
  <si>
    <r>
      <t xml:space="preserve">Soils #1202 </t>
    </r>
    <r>
      <rPr>
        <sz val="10"/>
        <color theme="1"/>
        <rFont val="細明體"/>
        <family val="3"/>
        <charset val="136"/>
      </rPr>
      <t>會引用</t>
    </r>
    <phoneticPr fontId="1" type="noConversion"/>
  </si>
  <si>
    <r>
      <t xml:space="preserve">Soils #2507 </t>
    </r>
    <r>
      <rPr>
        <sz val="10"/>
        <color theme="1"/>
        <rFont val="細明體"/>
        <family val="3"/>
        <charset val="136"/>
      </rPr>
      <t>會引用</t>
    </r>
    <phoneticPr fontId="1" type="noConversion"/>
  </si>
  <si>
    <r>
      <t xml:space="preserve">Soils #1, #2 </t>
    </r>
    <r>
      <rPr>
        <sz val="10"/>
        <color theme="1"/>
        <rFont val="細明體"/>
        <family val="3"/>
        <charset val="136"/>
      </rPr>
      <t>會引用</t>
    </r>
    <phoneticPr fontId="1" type="noConversion"/>
  </si>
  <si>
    <t>茶園內有局部缺株、茶樹生長不均勻、株高不一致, 產量偏低, ...等現象？</t>
    <phoneticPr fontId="1" type="noConversion"/>
  </si>
  <si>
    <t>Tree missing, poor growth, plant height differences, or lower yields can be observed ?</t>
    <phoneticPr fontId="1" type="noConversion"/>
  </si>
  <si>
    <t>依據初步田間巡視觀察結果，詢問茶農與鄰近茶園產量之比較。</t>
    <phoneticPr fontId="1" type="noConversion"/>
  </si>
  <si>
    <t>SiteEvaluation-1301</t>
    <phoneticPr fontId="1" type="noConversion"/>
  </si>
  <si>
    <t>These Pest(s) and/or disease(s) symptoms occurred only in limited locations ?</t>
    <phoneticPr fontId="1" type="noConversion"/>
  </si>
  <si>
    <t>#1107</t>
    <phoneticPr fontId="1" type="noConversion"/>
  </si>
  <si>
    <r>
      <rPr>
        <sz val="10"/>
        <color theme="1"/>
        <rFont val="細明體"/>
        <family val="3"/>
        <charset val="136"/>
      </rPr>
      <t>茶樹曾被深剪</t>
    </r>
    <r>
      <rPr>
        <sz val="10"/>
        <color theme="1"/>
        <rFont val="Times New Roman"/>
        <family val="1"/>
      </rPr>
      <t>/</t>
    </r>
    <r>
      <rPr>
        <sz val="10"/>
        <color theme="1"/>
        <rFont val="細明體"/>
        <family val="3"/>
        <charset val="136"/>
      </rPr>
      <t>中剪？</t>
    </r>
    <phoneticPr fontId="1" type="noConversion"/>
  </si>
  <si>
    <t>Deep or middle cut were exercised in this plantation ?</t>
    <phoneticPr fontId="1" type="noConversion"/>
  </si>
  <si>
    <t>#1331</t>
    <phoneticPr fontId="1" type="noConversion"/>
  </si>
  <si>
    <t>#1331</t>
    <phoneticPr fontId="1" type="noConversion"/>
  </si>
  <si>
    <r>
      <t>15</t>
    </r>
    <r>
      <rPr>
        <sz val="10"/>
        <color theme="1"/>
        <rFont val="細明體"/>
        <family val="3"/>
        <charset val="136"/>
      </rPr>
      <t>年內茶園。</t>
    </r>
    <phoneticPr fontId="1" type="noConversion"/>
  </si>
  <si>
    <r>
      <t>15</t>
    </r>
    <r>
      <rPr>
        <sz val="10"/>
        <color theme="1"/>
        <rFont val="細明體"/>
        <family val="3"/>
        <charset val="136"/>
      </rPr>
      <t>年以上茶園。</t>
    </r>
    <phoneticPr fontId="1" type="noConversion"/>
  </si>
  <si>
    <t>提早深剪或中剪通常因為產量已差(多半與施肥和灌溉方式錯誤，以及經常淺剪形成雞爪枝有關)。</t>
    <phoneticPr fontId="1" type="noConversion"/>
  </si>
  <si>
    <t>正常茶樹株齡可以很長(&gt;30年)，值得進一步瞭解為何茶樹樹齡很短。</t>
    <phoneticPr fontId="1" type="noConversion"/>
  </si>
  <si>
    <t>N16</t>
    <phoneticPr fontId="1" type="noConversion"/>
  </si>
  <si>
    <t>Irrig. Cls &gt; 4 often observed ?</t>
    <phoneticPr fontId="1" type="noConversion"/>
  </si>
  <si>
    <t>經常發生Irrig. Cls &gt; 4 的狀況？</t>
    <phoneticPr fontId="1" type="noConversion"/>
  </si>
  <si>
    <r>
      <t>Irrig Cls &gt; 4 (</t>
    </r>
    <r>
      <rPr>
        <sz val="10"/>
        <color theme="1"/>
        <rFont val="細明體"/>
        <family val="3"/>
        <charset val="136"/>
      </rPr>
      <t>綠色</t>
    </r>
    <r>
      <rPr>
        <sz val="10"/>
        <color theme="1"/>
        <rFont val="Times New Roman"/>
        <family val="1"/>
      </rPr>
      <t xml:space="preserve">  </t>
    </r>
    <r>
      <rPr>
        <sz val="10"/>
        <color theme="1"/>
        <rFont val="細明體"/>
        <family val="3"/>
        <charset val="136"/>
      </rPr>
      <t>藍色</t>
    </r>
    <r>
      <rPr>
        <sz val="10"/>
        <color theme="1"/>
        <rFont val="Times New Roman"/>
        <family val="1"/>
      </rPr>
      <t>)</t>
    </r>
    <r>
      <rPr>
        <sz val="10"/>
        <color theme="1"/>
        <rFont val="細明體"/>
        <family val="3"/>
        <charset val="136"/>
      </rPr>
      <t>代表土壤中水份仍很充足。</t>
    </r>
    <phoneticPr fontId="1" type="noConversion"/>
  </si>
  <si>
    <r>
      <rPr>
        <sz val="10"/>
        <color theme="1"/>
        <rFont val="細明體"/>
        <family val="3"/>
        <charset val="136"/>
      </rPr>
      <t>檢視</t>
    </r>
    <r>
      <rPr>
        <sz val="10"/>
        <color theme="1"/>
        <rFont val="Times New Roman"/>
        <family val="1"/>
      </rPr>
      <t>Irrig Cls</t>
    </r>
    <r>
      <rPr>
        <sz val="10"/>
        <color theme="1"/>
        <rFont val="細明體"/>
        <family val="3"/>
        <charset val="136"/>
      </rPr>
      <t>分佈圖，是否經常顯示</t>
    </r>
    <r>
      <rPr>
        <sz val="10"/>
        <color theme="1"/>
        <rFont val="Times New Roman"/>
        <family val="1"/>
      </rPr>
      <t>Irrig Cls &gt; 4 (</t>
    </r>
    <r>
      <rPr>
        <sz val="10"/>
        <color theme="1"/>
        <rFont val="細明體"/>
        <family val="3"/>
        <charset val="136"/>
      </rPr>
      <t>綠色</t>
    </r>
    <r>
      <rPr>
        <sz val="10"/>
        <color theme="1"/>
        <rFont val="Times New Roman"/>
        <family val="1"/>
      </rPr>
      <t xml:space="preserve">  </t>
    </r>
    <r>
      <rPr>
        <sz val="10"/>
        <color theme="1"/>
        <rFont val="細明體"/>
        <family val="3"/>
        <charset val="136"/>
      </rPr>
      <t>藍色</t>
    </r>
    <r>
      <rPr>
        <sz val="10"/>
        <color theme="1"/>
        <rFont val="Times New Roman"/>
        <family val="1"/>
      </rPr>
      <t>)</t>
    </r>
    <r>
      <rPr>
        <sz val="10"/>
        <color theme="1"/>
        <rFont val="細明體"/>
        <family val="3"/>
        <charset val="136"/>
      </rPr>
      <t>。</t>
    </r>
    <phoneticPr fontId="1" type="noConversion"/>
  </si>
  <si>
    <t>Answer-1</t>
    <phoneticPr fontId="1" type="noConversion"/>
  </si>
  <si>
    <t>Answer-3</t>
    <phoneticPr fontId="1" type="noConversion"/>
  </si>
  <si>
    <t>Answer-7</t>
  </si>
  <si>
    <t>Answer-8</t>
  </si>
  <si>
    <t>Answer-10</t>
  </si>
  <si>
    <r>
      <t xml:space="preserve">Soils #2706 </t>
    </r>
    <r>
      <rPr>
        <sz val="10"/>
        <color theme="1"/>
        <rFont val="細明體"/>
        <family val="3"/>
        <charset val="136"/>
      </rPr>
      <t>會引用</t>
    </r>
    <phoneticPr fontId="1" type="noConversion"/>
  </si>
  <si>
    <r>
      <rPr>
        <sz val="10"/>
        <color rgb="FF0070C0"/>
        <rFont val="新細明體"/>
        <family val="1"/>
        <charset val="136"/>
      </rPr>
      <t>局部地點缺株</t>
    </r>
    <r>
      <rPr>
        <sz val="10"/>
        <color rgb="FF0070C0"/>
        <rFont val="Times New Roman"/>
        <family val="1"/>
      </rPr>
      <t>/</t>
    </r>
    <r>
      <rPr>
        <sz val="10"/>
        <color rgb="FF0070C0"/>
        <rFont val="新細明體"/>
        <family val="1"/>
        <charset val="136"/>
      </rPr>
      <t>整株枯萎問題診斷</t>
    </r>
    <phoneticPr fontId="1" type="noConversion"/>
  </si>
  <si>
    <r>
      <rPr>
        <sz val="10"/>
        <color theme="1"/>
        <rFont val="細明體"/>
        <family val="3"/>
        <charset val="136"/>
      </rPr>
      <t>局部地點可能有短期土壤水分太多或水分不足的問題。</t>
    </r>
    <phoneticPr fontId="1" type="noConversion"/>
  </si>
  <si>
    <r>
      <rPr>
        <sz val="10"/>
        <color theme="1"/>
        <rFont val="細明體"/>
        <family val="3"/>
        <charset val="136"/>
      </rPr>
      <t>茶園內沒有缺株或整株枯萎徵狀發生。</t>
    </r>
    <phoneticPr fontId="1" type="noConversion"/>
  </si>
  <si>
    <r>
      <rPr>
        <sz val="10"/>
        <color theme="1"/>
        <rFont val="細明體"/>
        <family val="3"/>
        <charset val="136"/>
      </rPr>
      <t>茶樹無法忍受土壤中水分過多或不足的時間太長。因此茶園中內若有缺株或整株枯萎的現象，通常代表該處曾發生過水分過多或不足的狀況，因而導致茶樹死亡</t>
    </r>
    <r>
      <rPr>
        <sz val="10"/>
        <color theme="1"/>
        <rFont val="Times New Roman"/>
        <family val="1"/>
      </rPr>
      <t>(</t>
    </r>
    <r>
      <rPr>
        <sz val="10"/>
        <color theme="1"/>
        <rFont val="細明體"/>
        <family val="3"/>
        <charset val="136"/>
      </rPr>
      <t>缺株</t>
    </r>
    <r>
      <rPr>
        <sz val="10"/>
        <color theme="1"/>
        <rFont val="Times New Roman"/>
        <family val="1"/>
      </rPr>
      <t>)</t>
    </r>
    <r>
      <rPr>
        <sz val="10"/>
        <color theme="1"/>
        <rFont val="細明體"/>
        <family val="3"/>
        <charset val="136"/>
      </rPr>
      <t>或整株枯萎。</t>
    </r>
    <phoneticPr fontId="1" type="noConversion"/>
  </si>
  <si>
    <r>
      <rPr>
        <sz val="10"/>
        <color theme="1"/>
        <rFont val="細明體"/>
        <family val="3"/>
        <charset val="136"/>
      </rPr>
      <t>將枯萎的茶樹小心連根拔起，觀察根系的分佈情形，以及是否有病蟲害徵狀。</t>
    </r>
    <phoneticPr fontId="1" type="noConversion"/>
  </si>
  <si>
    <r>
      <rPr>
        <sz val="10"/>
        <color theme="1"/>
        <rFont val="細明體"/>
        <family val="3"/>
        <charset val="136"/>
      </rPr>
      <t>茶樹生物學特性：喜酸怕鹼、喜光怕曬、喜暖怕寒、喜濕怕澇、嫌鈣忌氯。</t>
    </r>
    <phoneticPr fontId="1" type="noConversion"/>
  </si>
  <si>
    <r>
      <rPr>
        <sz val="10"/>
        <color rgb="FFFF0000"/>
        <rFont val="新細明體"/>
        <family val="1"/>
        <charset val="136"/>
      </rPr>
      <t>是否有根系土壤水分短暫過多的問題</t>
    </r>
    <phoneticPr fontId="1" type="noConversion"/>
  </si>
  <si>
    <r>
      <rPr>
        <sz val="10"/>
        <color theme="1"/>
        <rFont val="新細明體"/>
        <family val="2"/>
        <charset val="136"/>
      </rPr>
      <t>徵狀發生於地勢或微地形的凹處或位於茶園地表排水路徑上？</t>
    </r>
    <phoneticPr fontId="1" type="noConversion"/>
  </si>
  <si>
    <r>
      <rPr>
        <sz val="10"/>
        <color theme="1"/>
        <rFont val="新細明體"/>
        <family val="2"/>
        <charset val="136"/>
      </rPr>
      <t>土壤中有較多的入滲水，使得土壤大孔隙被填滿的時間延長，導致根系缺氧受傷。</t>
    </r>
    <phoneticPr fontId="1" type="noConversion"/>
  </si>
  <si>
    <r>
      <rPr>
        <sz val="10"/>
        <color theme="1"/>
        <rFont val="新細明體"/>
        <family val="2"/>
        <charset val="136"/>
      </rPr>
      <t>微地形不會導致入滲水量的集中，也不在茶園地表排水路徑上。</t>
    </r>
    <phoneticPr fontId="1" type="noConversion"/>
  </si>
  <si>
    <r>
      <rPr>
        <sz val="10"/>
        <color theme="1"/>
        <rFont val="細明體"/>
        <family val="3"/>
        <charset val="136"/>
      </rPr>
      <t>平地茶園要特別注意表面排水的走向與地勢變化，坡地茶園則好發於平台階段內側。</t>
    </r>
    <phoneticPr fontId="1" type="noConversion"/>
  </si>
  <si>
    <r>
      <rPr>
        <sz val="10"/>
        <color theme="1"/>
        <rFont val="細明體"/>
        <family val="3"/>
        <charset val="136"/>
      </rPr>
      <t>請參考案例相片。</t>
    </r>
    <phoneticPr fontId="1" type="noConversion"/>
  </si>
  <si>
    <t>Answer-2</t>
    <phoneticPr fontId="1" type="noConversion"/>
  </si>
  <si>
    <r>
      <rPr>
        <sz val="10"/>
        <color theme="1"/>
        <rFont val="新細明體"/>
        <family val="2"/>
        <charset val="136"/>
      </rPr>
      <t>可能會因質地層理形成暫棲高地下水位，導致根系因缺氧受傷。</t>
    </r>
    <phoneticPr fontId="1" type="noConversion"/>
  </si>
  <si>
    <r>
      <rPr>
        <sz val="10"/>
        <color theme="1"/>
        <rFont val="細明體"/>
        <family val="3"/>
        <charset val="136"/>
      </rPr>
      <t>可使用</t>
    </r>
    <r>
      <rPr>
        <sz val="10"/>
        <color theme="1"/>
        <rFont val="Times New Roman"/>
        <family val="1"/>
      </rPr>
      <t>(</t>
    </r>
    <r>
      <rPr>
        <sz val="10"/>
        <color theme="1"/>
        <rFont val="細明體"/>
        <family val="3"/>
        <charset val="136"/>
      </rPr>
      <t>簡易</t>
    </r>
    <r>
      <rPr>
        <sz val="10"/>
        <color theme="1"/>
        <rFont val="Times New Roman"/>
        <family val="1"/>
      </rPr>
      <t>)</t>
    </r>
    <r>
      <rPr>
        <sz val="10"/>
        <color theme="1"/>
        <rFont val="細明體"/>
        <family val="3"/>
        <charset val="136"/>
      </rPr>
      <t>穿刺阻力計協助判斷。</t>
    </r>
    <phoneticPr fontId="1" type="noConversion"/>
  </si>
  <si>
    <r>
      <rPr>
        <sz val="10"/>
        <color theme="1"/>
        <rFont val="細明體"/>
        <family val="3"/>
        <charset val="136"/>
      </rPr>
      <t>此茶園土層極淺</t>
    </r>
    <r>
      <rPr>
        <sz val="10"/>
        <color theme="1"/>
        <rFont val="Times New Roman"/>
        <family val="1"/>
      </rPr>
      <t>(&lt;40cm)</t>
    </r>
    <r>
      <rPr>
        <sz val="10"/>
        <color theme="1"/>
        <rFont val="細明體"/>
        <family val="3"/>
        <charset val="136"/>
      </rPr>
      <t>，底下有土鑽也無法穿透之較大塊礫石。存活之茶樹的根系，應該已穿透礫石的間隙深入下方，因此不易受暫棲高地下水位的影響。</t>
    </r>
    <phoneticPr fontId="1" type="noConversion"/>
  </si>
  <si>
    <r>
      <rPr>
        <sz val="10"/>
        <color theme="1"/>
        <rFont val="新細明體"/>
        <family val="2"/>
        <charset val="136"/>
      </rPr>
      <t>根系範圍內曾經發生過因土壤水飽和導致缺氧的狀況。</t>
    </r>
    <phoneticPr fontId="1" type="noConversion"/>
  </si>
  <si>
    <r>
      <rPr>
        <sz val="10"/>
        <color theme="1"/>
        <rFont val="細明體"/>
        <family val="3"/>
        <charset val="136"/>
      </rPr>
      <t>須使用土鑽或採土管採集土樣判斷。</t>
    </r>
    <phoneticPr fontId="1" type="noConversion"/>
  </si>
  <si>
    <r>
      <rPr>
        <sz val="10"/>
        <color theme="1"/>
        <rFont val="細明體"/>
        <family val="3"/>
        <charset val="136"/>
      </rPr>
      <t>查看是否有紅棕色斑點或斑紋</t>
    </r>
    <r>
      <rPr>
        <sz val="10"/>
        <color theme="1"/>
        <rFont val="Times New Roman"/>
        <family val="1"/>
      </rPr>
      <t>(</t>
    </r>
    <r>
      <rPr>
        <sz val="10"/>
        <color theme="1"/>
        <rFont val="細明體"/>
        <family val="3"/>
        <charset val="136"/>
      </rPr>
      <t>有時須撥開新鮮土塊才能看到</t>
    </r>
    <r>
      <rPr>
        <sz val="10"/>
        <color theme="1"/>
        <rFont val="Times New Roman"/>
        <family val="1"/>
      </rPr>
      <t>)</t>
    </r>
    <r>
      <rPr>
        <sz val="10"/>
        <color theme="1"/>
        <rFont val="細明體"/>
        <family val="3"/>
        <charset val="136"/>
      </rPr>
      <t>。</t>
    </r>
    <phoneticPr fontId="1" type="noConversion"/>
  </si>
  <si>
    <r>
      <rPr>
        <sz val="10"/>
        <color theme="1"/>
        <rFont val="新細明體"/>
        <family val="2"/>
        <charset val="136"/>
      </rPr>
      <t>土表有藻斑存在？</t>
    </r>
    <phoneticPr fontId="1" type="noConversion"/>
  </si>
  <si>
    <r>
      <rPr>
        <sz val="10"/>
        <color theme="1"/>
        <rFont val="新細明體"/>
        <family val="2"/>
        <charset val="136"/>
      </rPr>
      <t>地表排水不良，大雨或灌溉後積水會阻斷土壤空氣與大氣的交換，導致發生根系缺氧的狀況。</t>
    </r>
    <phoneticPr fontId="1" type="noConversion"/>
  </si>
  <si>
    <r>
      <rPr>
        <sz val="10"/>
        <color theme="1"/>
        <rFont val="細明體"/>
        <family val="3"/>
        <charset val="136"/>
      </rPr>
      <t>地表排水順暢。</t>
    </r>
    <phoneticPr fontId="1" type="noConversion"/>
  </si>
  <si>
    <r>
      <rPr>
        <sz val="10"/>
        <color theme="1"/>
        <rFont val="細明體"/>
        <family val="3"/>
        <charset val="136"/>
      </rPr>
      <t>地表排水不良通常土面會伴隨有藻斑存在，留意茶園的地表排水規畫。
可請教茶農在颱風期間或夏季午後雷陣雨的經驗。</t>
    </r>
    <phoneticPr fontId="1" type="noConversion"/>
  </si>
  <si>
    <r>
      <rPr>
        <sz val="10"/>
        <color theme="1"/>
        <rFont val="細明體"/>
        <family val="3"/>
        <charset val="136"/>
      </rPr>
      <t>地表若留有青苔</t>
    </r>
    <r>
      <rPr>
        <sz val="10"/>
        <color theme="1"/>
        <rFont val="Times New Roman"/>
        <family val="1"/>
      </rPr>
      <t>/</t>
    </r>
    <r>
      <rPr>
        <sz val="10"/>
        <color theme="1"/>
        <rFont val="細明體"/>
        <family val="3"/>
        <charset val="136"/>
      </rPr>
      <t>藻斑痕跡，代表該處容易積水；但沒有青苔</t>
    </r>
    <r>
      <rPr>
        <sz val="10"/>
        <color theme="1"/>
        <rFont val="Times New Roman"/>
        <family val="1"/>
      </rPr>
      <t>/</t>
    </r>
    <r>
      <rPr>
        <sz val="10"/>
        <color theme="1"/>
        <rFont val="細明體"/>
        <family val="3"/>
        <charset val="136"/>
      </rPr>
      <t>藻斑痕跡，並不代表地表不會積水。</t>
    </r>
    <phoneticPr fontId="1" type="noConversion"/>
  </si>
  <si>
    <r>
      <rPr>
        <sz val="10"/>
        <color theme="1"/>
        <rFont val="細明體"/>
        <family val="3"/>
        <charset val="136"/>
      </rPr>
      <t>改善地表排水規劃。</t>
    </r>
    <phoneticPr fontId="1" type="noConversion"/>
  </si>
  <si>
    <r>
      <t xml:space="preserve">Soils #2501 </t>
    </r>
    <r>
      <rPr>
        <sz val="10"/>
        <color theme="1"/>
        <rFont val="細明體"/>
        <family val="3"/>
        <charset val="136"/>
      </rPr>
      <t>會引用</t>
    </r>
    <phoneticPr fontId="1" type="noConversion"/>
  </si>
  <si>
    <r>
      <rPr>
        <sz val="10"/>
        <color theme="1"/>
        <rFont val="細明體"/>
        <family val="3"/>
        <charset val="136"/>
      </rPr>
      <t>請參考案例相片。</t>
    </r>
  </si>
  <si>
    <t>Answer-15</t>
  </si>
  <si>
    <t>Root activity impaired by poor aeration due to having excess water over a period</t>
    <phoneticPr fontId="1" type="noConversion"/>
  </si>
  <si>
    <t>#1201</t>
    <phoneticPr fontId="1" type="noConversion"/>
  </si>
  <si>
    <r>
      <rPr>
        <sz val="10"/>
        <color rgb="FFFF0000"/>
        <rFont val="新細明體"/>
        <family val="1"/>
        <charset val="136"/>
      </rPr>
      <t>根系土壤可能有水分短暫過多問題</t>
    </r>
    <phoneticPr fontId="1" type="noConversion"/>
  </si>
  <si>
    <r>
      <rPr>
        <sz val="10"/>
        <color rgb="FFFF0000"/>
        <rFont val="新細明體"/>
        <family val="1"/>
        <charset val="136"/>
      </rPr>
      <t>比例</t>
    </r>
    <phoneticPr fontId="1" type="noConversion"/>
  </si>
  <si>
    <t>Main Branch 1, Secondary Branch 2:  Insufficient Water Supply Diagnosis</t>
    <phoneticPr fontId="1" type="noConversion"/>
  </si>
  <si>
    <r>
      <rPr>
        <sz val="10"/>
        <color rgb="FFFF0000"/>
        <rFont val="新細明體"/>
        <family val="1"/>
        <charset val="136"/>
      </rPr>
      <t>是否有根系土壤缺水問題</t>
    </r>
    <phoneticPr fontId="1" type="noConversion"/>
  </si>
  <si>
    <t>Symptoms occurred at blind spot(s) of sprinkle system ?</t>
    <phoneticPr fontId="1" type="noConversion"/>
  </si>
  <si>
    <t>#1202</t>
    <phoneticPr fontId="1" type="noConversion"/>
  </si>
  <si>
    <r>
      <rPr>
        <sz val="10"/>
        <rFont val="新細明體"/>
        <family val="1"/>
        <charset val="136"/>
      </rPr>
      <t>徵狀處有灌溉供水不足的可能？</t>
    </r>
    <phoneticPr fontId="1" type="noConversion"/>
  </si>
  <si>
    <r>
      <rPr>
        <sz val="10"/>
        <color theme="1"/>
        <rFont val="細明體"/>
        <family val="3"/>
        <charset val="136"/>
      </rPr>
      <t>灌溉供水可能不足。</t>
    </r>
    <phoneticPr fontId="1" type="noConversion"/>
  </si>
  <si>
    <r>
      <rPr>
        <sz val="10"/>
        <color theme="1"/>
        <rFont val="細明體"/>
        <family val="3"/>
        <charset val="136"/>
      </rPr>
      <t>灌溉供水沒有問題。</t>
    </r>
    <phoneticPr fontId="1" type="noConversion"/>
  </si>
  <si>
    <r>
      <rPr>
        <sz val="10"/>
        <color theme="1"/>
        <rFont val="細明體"/>
        <family val="3"/>
        <charset val="136"/>
      </rPr>
      <t>請教茶農該處噴出的水量是否較少</t>
    </r>
    <r>
      <rPr>
        <sz val="10"/>
        <color theme="1"/>
        <rFont val="Times New Roman"/>
        <family val="1"/>
      </rPr>
      <t>(</t>
    </r>
    <r>
      <rPr>
        <sz val="10"/>
        <color theme="1"/>
        <rFont val="細明體"/>
        <family val="3"/>
        <charset val="136"/>
      </rPr>
      <t>通常管線末端的水壓力較小，坡頂的水壓力小於坡底</t>
    </r>
    <r>
      <rPr>
        <sz val="10"/>
        <color theme="1"/>
        <rFont val="Times New Roman"/>
        <family val="1"/>
      </rPr>
      <t>)</t>
    </r>
    <r>
      <rPr>
        <sz val="10"/>
        <color theme="1"/>
        <rFont val="細明體"/>
        <family val="3"/>
        <charset val="136"/>
      </rPr>
      <t>，或噴灌頭的位置</t>
    </r>
    <r>
      <rPr>
        <sz val="10"/>
        <color theme="1"/>
        <rFont val="Times New Roman"/>
        <family val="1"/>
      </rPr>
      <t>/</t>
    </r>
    <r>
      <rPr>
        <sz val="10"/>
        <color theme="1"/>
        <rFont val="細明體"/>
        <family val="3"/>
        <charset val="136"/>
      </rPr>
      <t>密度是否曾調整過</t>
    </r>
    <r>
      <rPr>
        <sz val="10"/>
        <color theme="1"/>
        <rFont val="Times New Roman"/>
        <family val="1"/>
      </rPr>
      <t>(</t>
    </r>
    <r>
      <rPr>
        <sz val="10"/>
        <color theme="1"/>
        <rFont val="細明體"/>
        <family val="3"/>
        <charset val="136"/>
      </rPr>
      <t>以及為何要調整</t>
    </r>
    <r>
      <rPr>
        <sz val="10"/>
        <color theme="1"/>
        <rFont val="Times New Roman"/>
        <family val="1"/>
      </rPr>
      <t>)</t>
    </r>
    <r>
      <rPr>
        <sz val="10"/>
        <color theme="1"/>
        <rFont val="細明體"/>
        <family val="3"/>
        <charset val="136"/>
      </rPr>
      <t>。
乾季期間若灌溉水源不足，或許會減壓供水，則管線末端</t>
    </r>
    <r>
      <rPr>
        <sz val="10"/>
        <color theme="1"/>
        <rFont val="Times New Roman"/>
        <family val="1"/>
      </rPr>
      <t>/</t>
    </r>
    <r>
      <rPr>
        <sz val="10"/>
        <color theme="1"/>
        <rFont val="細明體"/>
        <family val="3"/>
        <charset val="136"/>
      </rPr>
      <t>坡頂的水壓會更低，出水量也會減少。</t>
    </r>
    <phoneticPr fontId="1" type="noConversion"/>
  </si>
  <si>
    <r>
      <rPr>
        <sz val="10"/>
        <color theme="1"/>
        <rFont val="細明體"/>
        <family val="3"/>
        <charset val="136"/>
      </rPr>
      <t>請參考案例相片。</t>
    </r>
    <phoneticPr fontId="1" type="noConversion"/>
  </si>
  <si>
    <r>
      <rPr>
        <sz val="10"/>
        <color theme="1"/>
        <rFont val="細明體"/>
        <family val="3"/>
        <charset val="136"/>
      </rPr>
      <t>調整噴灌系統。若水源不足，可考慮採用滴灌方式給水。</t>
    </r>
    <phoneticPr fontId="1" type="noConversion"/>
  </si>
  <si>
    <t>#1203</t>
    <phoneticPr fontId="1" type="noConversion"/>
  </si>
  <si>
    <t>SiteEvaluation-1232</t>
    <phoneticPr fontId="1" type="noConversion"/>
  </si>
  <si>
    <r>
      <rPr>
        <sz val="10"/>
        <color theme="1"/>
        <rFont val="新細明體"/>
        <family val="2"/>
        <charset val="136"/>
      </rPr>
      <t>可能有灌溉水缺乏、灌溉不均勻、根系或土層太淺問題。</t>
    </r>
    <phoneticPr fontId="1" type="noConversion"/>
  </si>
  <si>
    <r>
      <t xml:space="preserve"> </t>
    </r>
    <r>
      <rPr>
        <sz val="10"/>
        <color theme="1"/>
        <rFont val="細明體"/>
        <family val="3"/>
        <charset val="136"/>
      </rPr>
      <t>茶樹未發生嚴重缺水狀況。</t>
    </r>
    <phoneticPr fontId="1" type="noConversion"/>
  </si>
  <si>
    <r>
      <t>NDWI&lt;0(</t>
    </r>
    <r>
      <rPr>
        <sz val="10"/>
        <color theme="1"/>
        <rFont val="細明體"/>
        <family val="3"/>
        <charset val="136"/>
      </rPr>
      <t>紅色</t>
    </r>
    <r>
      <rPr>
        <sz val="10"/>
        <color theme="1"/>
        <rFont val="Times New Roman"/>
        <family val="1"/>
      </rPr>
      <t>)</t>
    </r>
    <r>
      <rPr>
        <sz val="10"/>
        <color theme="1"/>
        <rFont val="細明體"/>
        <family val="3"/>
        <charset val="136"/>
      </rPr>
      <t>代表植株嚴重缺水。</t>
    </r>
    <phoneticPr fontId="1" type="noConversion"/>
  </si>
  <si>
    <r>
      <rPr>
        <sz val="10"/>
        <color theme="1"/>
        <rFont val="細明體"/>
        <family val="3"/>
        <charset val="136"/>
      </rPr>
      <t>檢視茶園內是否有局部地區</t>
    </r>
    <r>
      <rPr>
        <sz val="10"/>
        <color theme="1"/>
        <rFont val="Times New Roman"/>
        <family val="1"/>
      </rPr>
      <t>NDWI&lt;0(</t>
    </r>
    <r>
      <rPr>
        <sz val="10"/>
        <color theme="1"/>
        <rFont val="細明體"/>
        <family val="3"/>
        <charset val="136"/>
      </rPr>
      <t>紅色</t>
    </r>
    <r>
      <rPr>
        <sz val="10"/>
        <color theme="1"/>
        <rFont val="Times New Roman"/>
        <family val="1"/>
      </rPr>
      <t>)</t>
    </r>
    <r>
      <rPr>
        <sz val="10"/>
        <color theme="1"/>
        <rFont val="細明體"/>
        <family val="3"/>
        <charset val="136"/>
      </rPr>
      <t>。</t>
    </r>
    <phoneticPr fontId="1" type="noConversion"/>
  </si>
  <si>
    <t>Roots distribution of these wilting plants are flat and shallow ?</t>
    <phoneticPr fontId="1" type="noConversion"/>
  </si>
  <si>
    <t>#1200</t>
    <phoneticPr fontId="1" type="noConversion"/>
  </si>
  <si>
    <r>
      <rPr>
        <sz val="10"/>
        <color theme="1"/>
        <rFont val="新細明體"/>
        <family val="2"/>
        <charset val="136"/>
      </rPr>
      <t>枯掉植株的根系呈現淺平的分布？</t>
    </r>
    <phoneticPr fontId="1" type="noConversion"/>
  </si>
  <si>
    <r>
      <rPr>
        <sz val="10"/>
        <color theme="1"/>
        <rFont val="新細明體"/>
        <family val="2"/>
        <charset val="136"/>
      </rPr>
      <t>植株根系淺且平，稍遇乾旱逆境即無法忍受。</t>
    </r>
    <phoneticPr fontId="1" type="noConversion"/>
  </si>
  <si>
    <r>
      <rPr>
        <sz val="10"/>
        <color theme="1"/>
        <rFont val="新細明體"/>
        <family val="2"/>
        <charset val="136"/>
      </rPr>
      <t>植株根系可向下發展。</t>
    </r>
    <phoneticPr fontId="1" type="noConversion"/>
  </si>
  <si>
    <r>
      <rPr>
        <sz val="10"/>
        <color theme="1"/>
        <rFont val="細明體"/>
        <family val="3"/>
        <charset val="136"/>
      </rPr>
      <t>將枯死植株挖出</t>
    </r>
    <r>
      <rPr>
        <sz val="10"/>
        <color theme="1"/>
        <rFont val="Times New Roman"/>
        <family val="1"/>
      </rPr>
      <t>/</t>
    </r>
    <r>
      <rPr>
        <sz val="10"/>
        <color theme="1"/>
        <rFont val="細明體"/>
        <family val="3"/>
        <charset val="136"/>
      </rPr>
      <t>拔出觀察。
平日若採少量多次方式施灌，容易導致根系上浮，向水平方向發展。</t>
    </r>
    <phoneticPr fontId="1" type="noConversion"/>
  </si>
  <si>
    <r>
      <rPr>
        <sz val="10"/>
        <color theme="1"/>
        <rFont val="細明體"/>
        <family val="3"/>
        <charset val="136"/>
      </rPr>
      <t>降低施灌頻率，增加每次灌溉水量，使土壤濕潤深度超過</t>
    </r>
    <r>
      <rPr>
        <sz val="10"/>
        <color theme="1"/>
        <rFont val="Times New Roman"/>
        <family val="1"/>
      </rPr>
      <t>20~40cm</t>
    </r>
    <r>
      <rPr>
        <sz val="10"/>
        <color theme="1"/>
        <rFont val="細明體"/>
        <family val="3"/>
        <charset val="136"/>
      </rPr>
      <t>，引導根系向下發展。
若以土壤孔隙率</t>
    </r>
    <r>
      <rPr>
        <sz val="10"/>
        <color theme="1"/>
        <rFont val="Times New Roman"/>
        <family val="1"/>
      </rPr>
      <t>50%</t>
    </r>
    <r>
      <rPr>
        <sz val="10"/>
        <color theme="1"/>
        <rFont val="細明體"/>
        <family val="3"/>
        <charset val="136"/>
      </rPr>
      <t>，每次施灌時仍有</t>
    </r>
    <r>
      <rPr>
        <sz val="10"/>
        <color theme="1"/>
        <rFont val="Times New Roman"/>
        <family val="1"/>
      </rPr>
      <t>60%</t>
    </r>
    <r>
      <rPr>
        <sz val="10"/>
        <color theme="1"/>
        <rFont val="細明體"/>
        <family val="3"/>
        <charset val="136"/>
      </rPr>
      <t>的孔隙有水，以濕潤深度預計達</t>
    </r>
    <r>
      <rPr>
        <sz val="10"/>
        <color theme="1"/>
        <rFont val="Times New Roman"/>
        <family val="1"/>
      </rPr>
      <t>20cm</t>
    </r>
    <r>
      <rPr>
        <sz val="10"/>
        <color theme="1"/>
        <rFont val="細明體"/>
        <family val="3"/>
        <charset val="136"/>
      </rPr>
      <t>計，每次的灌水量應為</t>
    </r>
    <r>
      <rPr>
        <sz val="10"/>
        <color theme="1"/>
        <rFont val="Times New Roman"/>
        <family val="1"/>
      </rPr>
      <t>10m x 100m x 0.2m x 50% x 40% = 40 m3/</t>
    </r>
    <r>
      <rPr>
        <sz val="10"/>
        <color theme="1"/>
        <rFont val="細明體"/>
        <family val="3"/>
        <charset val="136"/>
      </rPr>
      <t>分地。</t>
    </r>
    <phoneticPr fontId="1" type="noConversion"/>
  </si>
  <si>
    <t>Root Activity impaired by drought stress</t>
    <phoneticPr fontId="1" type="noConversion"/>
  </si>
  <si>
    <t>#2</t>
    <phoneticPr fontId="1" type="noConversion"/>
  </si>
  <si>
    <r>
      <rPr>
        <sz val="10"/>
        <color rgb="FFFF0000"/>
        <rFont val="新細明體"/>
        <family val="1"/>
        <charset val="136"/>
      </rPr>
      <t>根系土壤可能有缺水問題</t>
    </r>
    <phoneticPr fontId="1" type="noConversion"/>
  </si>
  <si>
    <t>Main Branch 2:  Poor Growth Dagnosis</t>
    <phoneticPr fontId="1" type="noConversion"/>
  </si>
  <si>
    <r>
      <rPr>
        <sz val="10"/>
        <color rgb="FF0070C0"/>
        <rFont val="細明體"/>
        <family val="3"/>
        <charset val="136"/>
      </rPr>
      <t>茶樹生長</t>
    </r>
    <r>
      <rPr>
        <sz val="10"/>
        <color rgb="FF0070C0"/>
        <rFont val="Times New Roman"/>
        <family val="1"/>
      </rPr>
      <t>/</t>
    </r>
    <r>
      <rPr>
        <sz val="10"/>
        <color rgb="FF0070C0"/>
        <rFont val="細明體"/>
        <family val="3"/>
        <charset val="136"/>
      </rPr>
      <t>產量不佳問題診斷</t>
    </r>
    <phoneticPr fontId="1" type="noConversion"/>
  </si>
  <si>
    <t>#2101</t>
    <phoneticPr fontId="1" type="noConversion"/>
  </si>
  <si>
    <t>#3</t>
    <phoneticPr fontId="1" type="noConversion"/>
  </si>
  <si>
    <t>N2000</t>
    <phoneticPr fontId="1" type="noConversion"/>
  </si>
  <si>
    <t>SiteEvaluation-1301</t>
    <phoneticPr fontId="1" type="noConversion"/>
  </si>
  <si>
    <r>
      <rPr>
        <sz val="10"/>
        <color theme="1"/>
        <rFont val="細明體"/>
        <family val="3"/>
        <charset val="136"/>
      </rPr>
      <t>針對園內相對生長不良地點或整園產量偏低的原因進行診斷。
可詢問茶農茶菁收量如何</t>
    </r>
    <r>
      <rPr>
        <sz val="10"/>
        <color theme="1"/>
        <rFont val="Times New Roman"/>
        <family val="1"/>
      </rPr>
      <t xml:space="preserve">? </t>
    </r>
    <r>
      <rPr>
        <sz val="10"/>
        <color theme="1"/>
        <rFont val="細明體"/>
        <family val="3"/>
        <charset val="136"/>
      </rPr>
      <t>正常機採茶園每次茶菁收量應超過</t>
    </r>
    <r>
      <rPr>
        <sz val="10"/>
        <color theme="1"/>
        <rFont val="Times New Roman"/>
        <family val="1"/>
      </rPr>
      <t>300</t>
    </r>
    <r>
      <rPr>
        <sz val="10"/>
        <color theme="1"/>
        <rFont val="細明體"/>
        <family val="3"/>
        <charset val="136"/>
      </rPr>
      <t>台斤</t>
    </r>
    <r>
      <rPr>
        <sz val="10"/>
        <color theme="1"/>
        <rFont val="Times New Roman"/>
        <family val="1"/>
      </rPr>
      <t>/</t>
    </r>
    <r>
      <rPr>
        <sz val="10"/>
        <color theme="1"/>
        <rFont val="細明體"/>
        <family val="3"/>
        <charset val="136"/>
      </rPr>
      <t>分地，若超過</t>
    </r>
    <r>
      <rPr>
        <sz val="10"/>
        <color theme="1"/>
        <rFont val="Times New Roman"/>
        <family val="1"/>
      </rPr>
      <t>700</t>
    </r>
    <r>
      <rPr>
        <sz val="10"/>
        <color theme="1"/>
        <rFont val="細明體"/>
        <family val="3"/>
        <charset val="136"/>
      </rPr>
      <t>台斤</t>
    </r>
    <r>
      <rPr>
        <sz val="10"/>
        <color theme="1"/>
        <rFont val="Times New Roman"/>
        <family val="1"/>
      </rPr>
      <t>/</t>
    </r>
    <r>
      <rPr>
        <sz val="10"/>
        <color theme="1"/>
        <rFont val="細明體"/>
        <family val="3"/>
        <charset val="136"/>
      </rPr>
      <t>分地，就很不錯。</t>
    </r>
    <phoneticPr fontId="1" type="noConversion"/>
  </si>
  <si>
    <t>Main Branch 2, Secondary Branch 1: Nutrients Deficiency Diagnosis</t>
    <phoneticPr fontId="1" type="noConversion"/>
  </si>
  <si>
    <r>
      <rPr>
        <sz val="10"/>
        <color rgb="FFFF0000"/>
        <rFont val="細明體"/>
        <family val="3"/>
        <charset val="136"/>
      </rPr>
      <t>是否有營養元素缺乏問題</t>
    </r>
    <phoneticPr fontId="1" type="noConversion"/>
  </si>
  <si>
    <t>Uneven new buds appearance ?</t>
    <phoneticPr fontId="1" type="noConversion"/>
  </si>
  <si>
    <t>#2102</t>
    <phoneticPr fontId="1" type="noConversion"/>
  </si>
  <si>
    <r>
      <rPr>
        <sz val="10"/>
        <color theme="1"/>
        <rFont val="細明體"/>
        <family val="3"/>
        <charset val="136"/>
      </rPr>
      <t>新芽少</t>
    </r>
    <r>
      <rPr>
        <sz val="10"/>
        <color theme="1"/>
        <rFont val="Times New Roman"/>
        <family val="1"/>
      </rPr>
      <t>/</t>
    </r>
    <r>
      <rPr>
        <sz val="10"/>
        <color theme="1"/>
        <rFont val="細明體"/>
        <family val="3"/>
        <charset val="136"/>
      </rPr>
      <t>抽新芽不整齊？</t>
    </r>
    <phoneticPr fontId="1" type="noConversion"/>
  </si>
  <si>
    <r>
      <rPr>
        <sz val="10"/>
        <color theme="1"/>
        <rFont val="新細明體"/>
        <family val="2"/>
        <charset val="136"/>
      </rPr>
      <t>可能缺乏氮。</t>
    </r>
    <phoneticPr fontId="1" type="noConversion"/>
  </si>
  <si>
    <r>
      <rPr>
        <sz val="10"/>
        <color theme="1"/>
        <rFont val="細明體"/>
        <family val="3"/>
        <charset val="136"/>
      </rPr>
      <t>沒有明顯的氮缺乏徵狀。</t>
    </r>
    <phoneticPr fontId="1" type="noConversion"/>
  </si>
  <si>
    <r>
      <rPr>
        <sz val="10"/>
        <color theme="1"/>
        <rFont val="細明體"/>
        <family val="3"/>
        <charset val="136"/>
      </rPr>
      <t>氮是植物體內蛋白質、核酸、葉綠素、酶、維生素和激素等許多重要有機化合物的組成成分，缺氮時，植株矮小，生長勢弱，分櫱或分枝減少。
茶樹缺氮，首先表現在新芽少</t>
    </r>
    <r>
      <rPr>
        <sz val="10"/>
        <color theme="1"/>
        <rFont val="Times New Roman"/>
        <family val="1"/>
      </rPr>
      <t>/</t>
    </r>
    <r>
      <rPr>
        <sz val="10"/>
        <color theme="1"/>
        <rFont val="細明體"/>
        <family val="3"/>
        <charset val="136"/>
      </rPr>
      <t>抽新芽不整齊。但通常茶園施用的氮肥已夠多，問題可能出在滲漏損失或施肥方式錯誤</t>
    </r>
    <r>
      <rPr>
        <sz val="10"/>
        <color theme="1"/>
        <rFont val="Times New Roman"/>
        <family val="1"/>
      </rPr>
      <t>(</t>
    </r>
    <r>
      <rPr>
        <sz val="10"/>
        <color theme="1"/>
        <rFont val="細明體"/>
        <family val="3"/>
        <charset val="136"/>
      </rPr>
      <t>未掩埋入土</t>
    </r>
    <r>
      <rPr>
        <sz val="10"/>
        <color theme="1"/>
        <rFont val="Times New Roman"/>
        <family val="1"/>
      </rPr>
      <t>)</t>
    </r>
    <r>
      <rPr>
        <sz val="10"/>
        <color theme="1"/>
        <rFont val="細明體"/>
        <family val="3"/>
        <charset val="136"/>
      </rPr>
      <t>。</t>
    </r>
    <phoneticPr fontId="1" type="noConversion"/>
  </si>
  <si>
    <r>
      <rPr>
        <sz val="10"/>
        <color theme="1"/>
        <rFont val="細明體"/>
        <family val="3"/>
        <charset val="136"/>
      </rPr>
      <t>進行營養元素缺乏診斷，確認缺乏的營養元素
葉面可施用</t>
    </r>
    <r>
      <rPr>
        <sz val="10"/>
        <color theme="1"/>
        <rFont val="Times New Roman"/>
        <family val="1"/>
      </rPr>
      <t>1%</t>
    </r>
    <r>
      <rPr>
        <sz val="10"/>
        <color theme="1"/>
        <rFont val="細明體"/>
        <family val="3"/>
        <charset val="136"/>
      </rPr>
      <t>硫酸銨或尿素水溶液、或台肥活力生技營養劑</t>
    </r>
    <r>
      <rPr>
        <sz val="10"/>
        <color theme="1"/>
        <rFont val="Times New Roman"/>
        <family val="1"/>
      </rPr>
      <t>1</t>
    </r>
    <r>
      <rPr>
        <sz val="10"/>
        <color theme="1"/>
        <rFont val="細明體"/>
        <family val="3"/>
        <charset val="136"/>
      </rPr>
      <t>號</t>
    </r>
    <r>
      <rPr>
        <sz val="10"/>
        <color theme="1"/>
        <rFont val="Times New Roman"/>
        <family val="1"/>
      </rPr>
      <t>(5:5:5:1</t>
    </r>
    <r>
      <rPr>
        <sz val="10"/>
        <color theme="1"/>
        <rFont val="細明體"/>
        <family val="3"/>
        <charset val="136"/>
      </rPr>
      <t>，</t>
    </r>
    <r>
      <rPr>
        <sz val="10"/>
        <color theme="1"/>
        <rFont val="Times New Roman"/>
        <family val="1"/>
      </rPr>
      <t>MgO)</t>
    </r>
    <r>
      <rPr>
        <sz val="10"/>
        <color theme="1"/>
        <rFont val="細明體"/>
        <family val="3"/>
        <charset val="136"/>
      </rPr>
      <t>，促進腋芽生長。
可施用台肥</t>
    </r>
    <r>
      <rPr>
        <sz val="10"/>
        <color theme="1"/>
        <rFont val="Times New Roman"/>
        <family val="1"/>
      </rPr>
      <t>1</t>
    </r>
    <r>
      <rPr>
        <sz val="10"/>
        <color theme="1"/>
        <rFont val="細明體"/>
        <family val="3"/>
        <charset val="136"/>
      </rPr>
      <t>號即溶複肥</t>
    </r>
    <r>
      <rPr>
        <sz val="10"/>
        <color theme="1"/>
        <rFont val="Times New Roman"/>
        <family val="1"/>
      </rPr>
      <t>(26:13:13)</t>
    </r>
    <r>
      <rPr>
        <sz val="10"/>
        <color theme="1"/>
        <rFont val="細明體"/>
        <family val="3"/>
        <charset val="136"/>
      </rPr>
      <t>或台肥</t>
    </r>
    <r>
      <rPr>
        <sz val="10"/>
        <color theme="1"/>
        <rFont val="Times New Roman"/>
        <family val="1"/>
      </rPr>
      <t>43</t>
    </r>
    <r>
      <rPr>
        <sz val="10"/>
        <color theme="1"/>
        <rFont val="細明體"/>
        <family val="3"/>
        <charset val="136"/>
      </rPr>
      <t>號即溶複合肥料</t>
    </r>
    <r>
      <rPr>
        <sz val="10"/>
        <color theme="1"/>
        <rFont val="Times New Roman"/>
        <family val="1"/>
      </rPr>
      <t>(15:15:15:4</t>
    </r>
    <r>
      <rPr>
        <sz val="10"/>
        <color theme="1"/>
        <rFont val="細明體"/>
        <family val="3"/>
        <charset val="136"/>
      </rPr>
      <t>，</t>
    </r>
    <r>
      <rPr>
        <sz val="10"/>
        <color theme="1"/>
        <rFont val="Times New Roman"/>
        <family val="1"/>
      </rPr>
      <t>MgO)</t>
    </r>
    <r>
      <rPr>
        <sz val="10"/>
        <color theme="1"/>
        <rFont val="細明體"/>
        <family val="3"/>
        <charset val="136"/>
      </rPr>
      <t>。</t>
    </r>
    <phoneticPr fontId="1" type="noConversion"/>
  </si>
  <si>
    <t>Unsmooth leaf surface, leaves lack glossiness, not bright green ?</t>
    <phoneticPr fontId="1" type="noConversion"/>
  </si>
  <si>
    <t>#2103</t>
    <phoneticPr fontId="1" type="noConversion"/>
  </si>
  <si>
    <r>
      <rPr>
        <sz val="10"/>
        <color theme="1"/>
        <rFont val="新細明體"/>
        <family val="1"/>
        <charset val="136"/>
      </rPr>
      <t>成熟葉片表面不平滑，缺少光澤，不夠鮮綠？</t>
    </r>
    <phoneticPr fontId="1" type="noConversion"/>
  </si>
  <si>
    <r>
      <rPr>
        <sz val="10"/>
        <color theme="1"/>
        <rFont val="新細明體"/>
        <family val="2"/>
        <charset val="136"/>
      </rPr>
      <t>可能缺乏氮、鎂。</t>
    </r>
    <phoneticPr fontId="1" type="noConversion"/>
  </si>
  <si>
    <r>
      <rPr>
        <sz val="10"/>
        <color theme="1"/>
        <rFont val="細明體"/>
        <family val="3"/>
        <charset val="136"/>
      </rPr>
      <t>沒有明顯的氮、鎂缺乏徵狀。</t>
    </r>
    <phoneticPr fontId="1" type="noConversion"/>
  </si>
  <si>
    <r>
      <rPr>
        <sz val="10"/>
        <color theme="1"/>
        <rFont val="細明體"/>
        <family val="3"/>
        <charset val="136"/>
      </rPr>
      <t>氮和鎂是構成葉綠素的重要成分，且在植物體內移動性大，故缺氮時成熟葉會開始黃化，嚴重時下部葉片枯黃脫落。
前作若為山藥或高麗菜，因曾施用大量石灰，可能會因鈣鎂拮抗作用，導致缺鎂。</t>
    </r>
    <phoneticPr fontId="1" type="noConversion"/>
  </si>
  <si>
    <r>
      <rPr>
        <sz val="10"/>
        <color theme="1"/>
        <rFont val="細明體"/>
        <family val="3"/>
        <charset val="136"/>
      </rPr>
      <t>進行營養元素缺乏診斷，確認缺乏的營養元素。
調整所施化學肥料的廠牌。可施用台肥</t>
    </r>
    <r>
      <rPr>
        <sz val="10"/>
        <color theme="1"/>
        <rFont val="Times New Roman"/>
        <family val="1"/>
      </rPr>
      <t>43</t>
    </r>
    <r>
      <rPr>
        <sz val="10"/>
        <color theme="1"/>
        <rFont val="細明體"/>
        <family val="3"/>
        <charset val="136"/>
      </rPr>
      <t>號即溶複合肥料</t>
    </r>
    <r>
      <rPr>
        <sz val="10"/>
        <color theme="1"/>
        <rFont val="Times New Roman"/>
        <family val="1"/>
      </rPr>
      <t>(15:15:15:4</t>
    </r>
    <r>
      <rPr>
        <sz val="10"/>
        <color theme="1"/>
        <rFont val="細明體"/>
        <family val="3"/>
        <charset val="136"/>
      </rPr>
      <t>，</t>
    </r>
    <r>
      <rPr>
        <sz val="10"/>
        <color theme="1"/>
        <rFont val="Times New Roman"/>
        <family val="1"/>
      </rPr>
      <t>MgO)</t>
    </r>
    <r>
      <rPr>
        <sz val="10"/>
        <color theme="1"/>
        <rFont val="細明體"/>
        <family val="3"/>
        <charset val="136"/>
      </rPr>
      <t>或硝磷基黑旺特</t>
    </r>
    <r>
      <rPr>
        <sz val="10"/>
        <color theme="1"/>
        <rFont val="Times New Roman"/>
        <family val="1"/>
      </rPr>
      <t>43</t>
    </r>
    <r>
      <rPr>
        <sz val="10"/>
        <color theme="1"/>
        <rFont val="細明體"/>
        <family val="3"/>
        <charset val="136"/>
      </rPr>
      <t>號</t>
    </r>
    <r>
      <rPr>
        <sz val="10"/>
        <color theme="1"/>
        <rFont val="Times New Roman"/>
        <family val="1"/>
      </rPr>
      <t>(15:15:15:4:50</t>
    </r>
    <r>
      <rPr>
        <sz val="10"/>
        <color theme="1"/>
        <rFont val="細明體"/>
        <family val="3"/>
        <charset val="136"/>
      </rPr>
      <t>，</t>
    </r>
    <r>
      <rPr>
        <sz val="10"/>
        <color theme="1"/>
        <rFont val="Times New Roman"/>
        <family val="1"/>
      </rPr>
      <t>MgO, OM)</t>
    </r>
    <r>
      <rPr>
        <sz val="10"/>
        <color theme="1"/>
        <rFont val="細明體"/>
        <family val="3"/>
        <charset val="136"/>
      </rPr>
      <t>。</t>
    </r>
    <phoneticPr fontId="1" type="noConversion"/>
  </si>
  <si>
    <t>Primary Vein not raised, leaf not lift up / Secondary veins not clear and parallel / Leaf edge serration not clear ?</t>
    <phoneticPr fontId="1" type="noConversion"/>
  </si>
  <si>
    <t>#2104</t>
    <phoneticPr fontId="1" type="noConversion"/>
  </si>
  <si>
    <r>
      <rPr>
        <sz val="10"/>
        <color theme="1"/>
        <rFont val="新細明體"/>
        <family val="1"/>
        <charset val="136"/>
      </rPr>
      <t>成熟葉片背面中肋不夠突出、葉片下垂</t>
    </r>
    <r>
      <rPr>
        <sz val="10"/>
        <color theme="1"/>
        <rFont val="Times New Roman"/>
        <family val="1"/>
      </rPr>
      <t xml:space="preserve"> / </t>
    </r>
    <r>
      <rPr>
        <sz val="10"/>
        <color theme="1"/>
        <rFont val="新細明體"/>
        <family val="1"/>
        <charset val="136"/>
      </rPr>
      <t>葉脈不夠等距、清晰</t>
    </r>
    <r>
      <rPr>
        <sz val="10"/>
        <color theme="1"/>
        <rFont val="Times New Roman"/>
        <family val="1"/>
      </rPr>
      <t xml:space="preserve"> / </t>
    </r>
    <r>
      <rPr>
        <sz val="10"/>
        <color theme="1"/>
        <rFont val="新細明體"/>
        <family val="1"/>
        <charset val="136"/>
      </rPr>
      <t>近葉柄處的葉緣鋸齒不明顯？</t>
    </r>
    <phoneticPr fontId="1" type="noConversion"/>
  </si>
  <si>
    <r>
      <rPr>
        <sz val="10"/>
        <color theme="1"/>
        <rFont val="新細明體"/>
        <family val="2"/>
        <charset val="136"/>
      </rPr>
      <t>鉀、鈣可能缺乏。</t>
    </r>
    <phoneticPr fontId="1" type="noConversion"/>
  </si>
  <si>
    <r>
      <rPr>
        <sz val="10"/>
        <color theme="1"/>
        <rFont val="細明體"/>
        <family val="3"/>
        <charset val="136"/>
      </rPr>
      <t>沒有明顯的鉀、鈣缺乏徵狀。</t>
    </r>
    <phoneticPr fontId="1" type="noConversion"/>
  </si>
  <si>
    <r>
      <rPr>
        <sz val="10"/>
        <color theme="1"/>
        <rFont val="細明體"/>
        <family val="3"/>
        <charset val="136"/>
      </rPr>
      <t>鉀是調節植物體內水分和光合產物輸送的重要元素，鈣是細胞分裂的必要元素和細胞壁的重要成分。缺乏時，葉脈構造不明顯，葉片膨壓不足，葉片容易下垂。</t>
    </r>
    <phoneticPr fontId="1" type="noConversion"/>
  </si>
  <si>
    <r>
      <rPr>
        <sz val="10"/>
        <color theme="1"/>
        <rFont val="細明體"/>
        <family val="3"/>
        <charset val="136"/>
      </rPr>
      <t>進行營養元素缺乏診斷，確認缺乏的營養元素。
可加施台肥農友牌鎂鈣肥</t>
    </r>
    <r>
      <rPr>
        <sz val="10"/>
        <color theme="1"/>
        <rFont val="Times New Roman"/>
        <family val="1"/>
      </rPr>
      <t>(CaO:MgO=35:18)</t>
    </r>
    <r>
      <rPr>
        <sz val="10"/>
        <color theme="1"/>
        <rFont val="細明體"/>
        <family val="3"/>
        <charset val="136"/>
      </rPr>
      <t>。</t>
    </r>
    <phoneticPr fontId="1" type="noConversion"/>
  </si>
  <si>
    <t>Yellowed or chlorotic young leaves ?</t>
    <phoneticPr fontId="1" type="noConversion"/>
  </si>
  <si>
    <t>#2105</t>
    <phoneticPr fontId="1" type="noConversion"/>
  </si>
  <si>
    <r>
      <rPr>
        <sz val="10"/>
        <color theme="1"/>
        <rFont val="新細明體"/>
        <family val="1"/>
        <charset val="136"/>
      </rPr>
      <t>新芽變形或新葉黃化</t>
    </r>
    <r>
      <rPr>
        <sz val="10"/>
        <color theme="1"/>
        <rFont val="Times New Roman"/>
        <family val="1"/>
      </rPr>
      <t>/</t>
    </r>
    <r>
      <rPr>
        <sz val="10"/>
        <color theme="1"/>
        <rFont val="新細明體"/>
        <family val="1"/>
        <charset val="136"/>
      </rPr>
      <t>白化明顯</t>
    </r>
    <r>
      <rPr>
        <sz val="10"/>
        <color theme="1"/>
        <rFont val="Times New Roman"/>
        <family val="1"/>
      </rPr>
      <t xml:space="preserve"> </t>
    </r>
    <r>
      <rPr>
        <sz val="10"/>
        <color theme="1"/>
        <rFont val="新細明體"/>
        <family val="1"/>
        <charset val="136"/>
      </rPr>
      <t>？</t>
    </r>
    <phoneticPr fontId="1" type="noConversion"/>
  </si>
  <si>
    <r>
      <rPr>
        <sz val="10"/>
        <color theme="1"/>
        <rFont val="新細明體"/>
        <family val="2"/>
        <charset val="136"/>
      </rPr>
      <t>可能缺乏微量元素。</t>
    </r>
    <phoneticPr fontId="1" type="noConversion"/>
  </si>
  <si>
    <r>
      <rPr>
        <sz val="10"/>
        <color theme="1"/>
        <rFont val="細明體"/>
        <family val="3"/>
        <charset val="136"/>
      </rPr>
      <t>沒有明顯的微量元素缺乏徵狀。</t>
    </r>
    <phoneticPr fontId="1" type="noConversion"/>
  </si>
  <si>
    <r>
      <rPr>
        <sz val="10"/>
        <color theme="1"/>
        <rFont val="細明體"/>
        <family val="3"/>
        <charset val="136"/>
      </rPr>
      <t>微量元素在植物體內移動性小，徵狀多出現在新芽和新葉上。。
長期未施含微量元素肥料</t>
    </r>
    <r>
      <rPr>
        <sz val="10"/>
        <color theme="1"/>
        <rFont val="Times New Roman"/>
        <family val="1"/>
      </rPr>
      <t>(</t>
    </r>
    <r>
      <rPr>
        <sz val="10"/>
        <color theme="1"/>
        <rFont val="細明體"/>
        <family val="3"/>
        <charset val="136"/>
      </rPr>
      <t>或施用有機質肥料但未中耕翻土</t>
    </r>
    <r>
      <rPr>
        <sz val="10"/>
        <color theme="1"/>
        <rFont val="Times New Roman"/>
        <family val="1"/>
      </rPr>
      <t>)</t>
    </r>
    <r>
      <rPr>
        <sz val="10"/>
        <color theme="1"/>
        <rFont val="細明體"/>
        <family val="3"/>
        <charset val="136"/>
      </rPr>
      <t>，或因修築梯田將表土和底土置換，都容易造成微量元素缺乏。</t>
    </r>
    <phoneticPr fontId="1" type="noConversion"/>
  </si>
  <si>
    <r>
      <rPr>
        <sz val="10"/>
        <color theme="1"/>
        <rFont val="細明體"/>
        <family val="3"/>
        <charset val="136"/>
      </rPr>
      <t>進行營養元素缺乏診斷，確認缺乏的營養元素。
採用葉面施肥方式，補充微量元素。</t>
    </r>
    <phoneticPr fontId="1" type="noConversion"/>
  </si>
  <si>
    <r>
      <rPr>
        <sz val="10"/>
        <color theme="1"/>
        <rFont val="細明體"/>
        <family val="3"/>
        <charset val="136"/>
      </rPr>
      <t>葉面施肥施用時間點在下午傍晚最好，天氣不熱又漸入夜晚，對噴施後葉子保持濕潤的時間會比較久，且環境也對葉子葉面吸收效果最好，如果可以的話，晚上噴施的吸收效果也很好。</t>
    </r>
    <phoneticPr fontId="1" type="noConversion"/>
  </si>
  <si>
    <t>#2100</t>
    <phoneticPr fontId="1" type="noConversion"/>
  </si>
  <si>
    <t>Answer-4</t>
    <phoneticPr fontId="1" type="noConversion"/>
  </si>
  <si>
    <r>
      <t>pH</t>
    </r>
    <r>
      <rPr>
        <sz val="10"/>
        <color theme="1"/>
        <rFont val="新細明體"/>
        <family val="2"/>
        <charset val="136"/>
      </rPr>
      <t>太低，可能有鋁毒害和養分缺乏問題。</t>
    </r>
    <phoneticPr fontId="1" type="noConversion"/>
  </si>
  <si>
    <r>
      <rPr>
        <sz val="10"/>
        <color theme="1"/>
        <rFont val="細明體"/>
        <family val="3"/>
        <charset val="136"/>
      </rPr>
      <t>土壤</t>
    </r>
    <r>
      <rPr>
        <sz val="10"/>
        <color theme="1"/>
        <rFont val="Times New Roman"/>
        <family val="1"/>
      </rPr>
      <t>pH</t>
    </r>
    <r>
      <rPr>
        <sz val="10"/>
        <color theme="1"/>
        <rFont val="細明體"/>
        <family val="3"/>
        <charset val="136"/>
      </rPr>
      <t>還不至於太酸。</t>
    </r>
    <phoneticPr fontId="1" type="noConversion"/>
  </si>
  <si>
    <r>
      <rPr>
        <sz val="10"/>
        <color theme="1"/>
        <rFont val="細明體"/>
        <family val="3"/>
        <charset val="136"/>
      </rPr>
      <t>利用可攜式</t>
    </r>
    <r>
      <rPr>
        <sz val="10"/>
        <color theme="1"/>
        <rFont val="Times New Roman"/>
        <family val="1"/>
      </rPr>
      <t>pH</t>
    </r>
    <r>
      <rPr>
        <sz val="10"/>
        <color theme="1"/>
        <rFont val="細明體"/>
        <family val="3"/>
        <charset val="136"/>
      </rPr>
      <t>計檢測。</t>
    </r>
    <phoneticPr fontId="1" type="noConversion"/>
  </si>
  <si>
    <r>
      <rPr>
        <sz val="10"/>
        <color theme="1"/>
        <rFont val="新細明體"/>
        <family val="2"/>
        <charset val="136"/>
      </rPr>
      <t>以</t>
    </r>
    <r>
      <rPr>
        <sz val="10"/>
        <color theme="1"/>
        <rFont val="Times New Roman"/>
        <family val="1"/>
      </rPr>
      <t>225 kg/ha</t>
    </r>
    <r>
      <rPr>
        <sz val="10"/>
        <color theme="1"/>
        <rFont val="新細明體"/>
        <family val="2"/>
        <charset val="136"/>
      </rPr>
      <t>過</t>
    </r>
    <r>
      <rPr>
        <sz val="10"/>
        <color theme="1"/>
        <rFont val="Times New Roman"/>
        <family val="1"/>
      </rPr>
      <t>100</t>
    </r>
    <r>
      <rPr>
        <sz val="10"/>
        <color theme="1"/>
        <rFont val="新細明體"/>
        <family val="2"/>
        <charset val="136"/>
      </rPr>
      <t>目篩的白雲石粉，在秋季與基肥一起施入，將土壤</t>
    </r>
    <r>
      <rPr>
        <sz val="10"/>
        <color theme="1"/>
        <rFont val="Times New Roman"/>
        <family val="1"/>
      </rPr>
      <t>pH</t>
    </r>
    <r>
      <rPr>
        <sz val="10"/>
        <color theme="1"/>
        <rFont val="新細明體"/>
        <family val="2"/>
        <charset val="136"/>
      </rPr>
      <t>值逐漸調整到</t>
    </r>
    <r>
      <rPr>
        <sz val="10"/>
        <color theme="1"/>
        <rFont val="Times New Roman"/>
        <family val="1"/>
      </rPr>
      <t>4.5</t>
    </r>
    <r>
      <rPr>
        <sz val="10"/>
        <color theme="1"/>
        <rFont val="新細明體"/>
        <family val="2"/>
        <charset val="136"/>
      </rPr>
      <t>。</t>
    </r>
    <phoneticPr fontId="1" type="noConversion"/>
  </si>
  <si>
    <t>May have nutrients deficiency problems</t>
    <phoneticPr fontId="1" type="noConversion"/>
  </si>
  <si>
    <t>#2201</t>
    <phoneticPr fontId="1" type="noConversion"/>
  </si>
  <si>
    <r>
      <rPr>
        <sz val="10"/>
        <color rgb="FFFF0000"/>
        <rFont val="新細明體"/>
        <family val="1"/>
        <charset val="136"/>
      </rPr>
      <t>可能有營養元素缺乏問題</t>
    </r>
    <phoneticPr fontId="1" type="noConversion"/>
  </si>
  <si>
    <t>Main Branch 2, Secondary Branch 2: Nutrients Excess Diagnosis</t>
    <phoneticPr fontId="1" type="noConversion"/>
  </si>
  <si>
    <r>
      <rPr>
        <sz val="10"/>
        <color rgb="FFFF0000"/>
        <rFont val="細明體"/>
        <family val="3"/>
        <charset val="136"/>
      </rPr>
      <t>是否有營養元素過多</t>
    </r>
    <r>
      <rPr>
        <sz val="10"/>
        <color rgb="FFFF0000"/>
        <rFont val="Times New Roman"/>
        <family val="1"/>
      </rPr>
      <t>/</t>
    </r>
    <r>
      <rPr>
        <sz val="10"/>
        <color rgb="FFFF0000"/>
        <rFont val="細明體"/>
        <family val="3"/>
        <charset val="136"/>
      </rPr>
      <t>毒害問題</t>
    </r>
    <phoneticPr fontId="1" type="noConversion"/>
  </si>
  <si>
    <t>Internal node between blades are long and soft ?</t>
    <phoneticPr fontId="1" type="noConversion"/>
  </si>
  <si>
    <t>#2202</t>
    <phoneticPr fontId="1" type="noConversion"/>
  </si>
  <si>
    <r>
      <rPr>
        <sz val="10"/>
        <color theme="1"/>
        <rFont val="細明體"/>
        <family val="3"/>
        <charset val="136"/>
      </rPr>
      <t>新葉節間普遍有長且柔軟的徵狀？</t>
    </r>
    <phoneticPr fontId="1" type="noConversion"/>
  </si>
  <si>
    <r>
      <rPr>
        <sz val="10"/>
        <color theme="1"/>
        <rFont val="新細明體"/>
        <family val="2"/>
        <charset val="136"/>
      </rPr>
      <t>氮可能過多。</t>
    </r>
    <phoneticPr fontId="1" type="noConversion"/>
  </si>
  <si>
    <r>
      <rPr>
        <sz val="10"/>
        <color theme="1"/>
        <rFont val="細明體"/>
        <family val="3"/>
        <charset val="136"/>
      </rPr>
      <t>沒有明顯的氮過多徵狀。</t>
    </r>
    <phoneticPr fontId="1" type="noConversion"/>
  </si>
  <si>
    <r>
      <rPr>
        <sz val="10"/>
        <color theme="1"/>
        <rFont val="細明體"/>
        <family val="3"/>
        <charset val="136"/>
      </rPr>
      <t>氮肥施用過量，植株葉色濃綠，容易徒長，造成新葉節間長且柔軟。</t>
    </r>
    <phoneticPr fontId="1" type="noConversion"/>
  </si>
  <si>
    <r>
      <rPr>
        <sz val="10"/>
        <color theme="1"/>
        <rFont val="細明體"/>
        <family val="3"/>
        <charset val="136"/>
      </rPr>
      <t>降低氮肥用量。
以每年採收</t>
    </r>
    <r>
      <rPr>
        <sz val="10"/>
        <color theme="1"/>
        <rFont val="Times New Roman"/>
        <family val="1"/>
      </rPr>
      <t>100</t>
    </r>
    <r>
      <rPr>
        <sz val="10"/>
        <color theme="1"/>
        <rFont val="細明體"/>
        <family val="3"/>
        <charset val="136"/>
      </rPr>
      <t>公斤茶乾，需補充</t>
    </r>
    <r>
      <rPr>
        <sz val="10"/>
        <color theme="1"/>
        <rFont val="Times New Roman"/>
        <family val="1"/>
      </rPr>
      <t>15</t>
    </r>
    <r>
      <rPr>
        <sz val="10"/>
        <color theme="1"/>
        <rFont val="細明體"/>
        <family val="3"/>
        <charset val="136"/>
      </rPr>
      <t>公斤氮素進行氮肥用量計算冬季基肥和春夏秋三次追肥用量。</t>
    </r>
    <phoneticPr fontId="1" type="noConversion"/>
  </si>
  <si>
    <t>Abnormal flowering or having many flower buds ?</t>
    <phoneticPr fontId="1" type="noConversion"/>
  </si>
  <si>
    <t>#2211</t>
    <phoneticPr fontId="1" type="noConversion"/>
  </si>
  <si>
    <r>
      <rPr>
        <sz val="10"/>
        <color theme="1"/>
        <rFont val="新細明體"/>
        <family val="1"/>
        <charset val="136"/>
      </rPr>
      <t>有異常開花</t>
    </r>
    <r>
      <rPr>
        <sz val="10"/>
        <color theme="1"/>
        <rFont val="Times New Roman"/>
        <family val="1"/>
      </rPr>
      <t>/</t>
    </r>
    <r>
      <rPr>
        <sz val="10"/>
        <color theme="1"/>
        <rFont val="新細明體"/>
        <family val="1"/>
        <charset val="136"/>
      </rPr>
      <t>花芽較多現象？</t>
    </r>
    <phoneticPr fontId="1" type="noConversion"/>
  </si>
  <si>
    <r>
      <rPr>
        <sz val="10"/>
        <color theme="1"/>
        <rFont val="細明體"/>
        <family val="3"/>
        <charset val="136"/>
      </rPr>
      <t>磷可能過多。</t>
    </r>
    <phoneticPr fontId="1" type="noConversion"/>
  </si>
  <si>
    <r>
      <rPr>
        <sz val="10"/>
        <color theme="1"/>
        <rFont val="細明體"/>
        <family val="3"/>
        <charset val="136"/>
      </rPr>
      <t>沒有明顯的磷過多徵狀。</t>
    </r>
    <phoneticPr fontId="1" type="noConversion"/>
  </si>
  <si>
    <r>
      <t>⼀</t>
    </r>
    <r>
      <rPr>
        <sz val="10"/>
        <color theme="1"/>
        <rFont val="細明體"/>
        <family val="3"/>
        <charset val="136"/>
      </rPr>
      <t>般</t>
    </r>
    <r>
      <rPr>
        <sz val="10"/>
        <color theme="1"/>
        <rFont val="Times New Roman"/>
        <family val="1"/>
      </rPr>
      <t>⽽⾔</t>
    </r>
    <r>
      <rPr>
        <sz val="10"/>
        <color theme="1"/>
        <rFont val="細明體"/>
        <family val="3"/>
        <charset val="136"/>
      </rPr>
      <t>，</t>
    </r>
    <r>
      <rPr>
        <sz val="10"/>
        <color theme="1"/>
        <rFont val="Times New Roman"/>
        <family val="1"/>
      </rPr>
      <t>9⽉</t>
    </r>
    <r>
      <rPr>
        <sz val="10"/>
        <color theme="1"/>
        <rFont val="細明體"/>
        <family val="3"/>
        <charset val="136"/>
      </rPr>
      <t>下旬起會陸續開花，</t>
    </r>
    <r>
      <rPr>
        <sz val="10"/>
        <color theme="1"/>
        <rFont val="Times New Roman"/>
        <family val="1"/>
      </rPr>
      <t>11⽉⾄</t>
    </r>
    <r>
      <rPr>
        <sz val="10"/>
        <color theme="1"/>
        <rFont val="細明體"/>
        <family val="3"/>
        <charset val="136"/>
      </rPr>
      <t>次年的</t>
    </r>
    <r>
      <rPr>
        <sz val="10"/>
        <color theme="1"/>
        <rFont val="Times New Roman"/>
        <family val="1"/>
      </rPr>
      <t>2⽉</t>
    </r>
    <r>
      <rPr>
        <sz val="10"/>
        <color theme="1"/>
        <rFont val="細明體"/>
        <family val="3"/>
        <charset val="136"/>
      </rPr>
      <t>是開花盛期，留養園則可持續到</t>
    </r>
    <r>
      <rPr>
        <sz val="10"/>
        <color theme="1"/>
        <rFont val="Times New Roman"/>
        <family val="1"/>
      </rPr>
      <t>3⽉</t>
    </r>
    <r>
      <rPr>
        <sz val="10"/>
        <color theme="1"/>
        <rFont val="細明體"/>
        <family val="3"/>
        <charset val="136"/>
      </rPr>
      <t>底。多花的台茶</t>
    </r>
    <r>
      <rPr>
        <sz val="10"/>
        <color theme="1"/>
        <rFont val="Times New Roman"/>
        <family val="1"/>
      </rPr>
      <t>12</t>
    </r>
    <r>
      <rPr>
        <sz val="10"/>
        <color theme="1"/>
        <rFont val="細明體"/>
        <family val="3"/>
        <charset val="136"/>
      </rPr>
      <t>號</t>
    </r>
    <r>
      <rPr>
        <sz val="10"/>
        <color theme="1"/>
        <rFont val="Times New Roman"/>
        <family val="1"/>
      </rPr>
      <t>(</t>
    </r>
    <r>
      <rPr>
        <sz val="10"/>
        <color theme="1"/>
        <rFont val="細明體"/>
        <family val="3"/>
        <charset val="136"/>
      </rPr>
      <t>金萱</t>
    </r>
    <r>
      <rPr>
        <sz val="10"/>
        <color theme="1"/>
        <rFont val="Times New Roman"/>
        <family val="1"/>
      </rPr>
      <t>)</t>
    </r>
    <r>
      <rPr>
        <sz val="10"/>
        <color theme="1"/>
        <rFont val="細明體"/>
        <family val="3"/>
        <charset val="136"/>
      </rPr>
      <t>與青</t>
    </r>
    <r>
      <rPr>
        <sz val="10"/>
        <color theme="1"/>
        <rFont val="Times New Roman"/>
        <family val="1"/>
      </rPr>
      <t>⼼</t>
    </r>
    <r>
      <rPr>
        <sz val="10"/>
        <color theme="1"/>
        <rFont val="細明體"/>
        <family val="3"/>
        <charset val="136"/>
      </rPr>
      <t>烏龍在</t>
    </r>
    <r>
      <rPr>
        <sz val="10"/>
        <color theme="1"/>
        <rFont val="Times New Roman"/>
        <family val="1"/>
      </rPr>
      <t>5⽉</t>
    </r>
    <r>
      <rPr>
        <sz val="10"/>
        <color theme="1"/>
        <rFont val="細明體"/>
        <family val="3"/>
        <charset val="136"/>
      </rPr>
      <t>中旬起就可看到</t>
    </r>
    <r>
      <rPr>
        <sz val="10"/>
        <color theme="1"/>
        <rFont val="Times New Roman"/>
        <family val="1"/>
      </rPr>
      <t>⼩</t>
    </r>
    <r>
      <rPr>
        <sz val="10"/>
        <color theme="1"/>
        <rFont val="細明體"/>
        <family val="3"/>
        <charset val="136"/>
      </rPr>
      <t>花，</t>
    </r>
    <r>
      <rPr>
        <sz val="10"/>
        <color theme="1"/>
        <rFont val="Times New Roman"/>
        <family val="1"/>
      </rPr>
      <t>⽽</t>
    </r>
    <r>
      <rPr>
        <sz val="10"/>
        <color theme="1"/>
        <rFont val="細明體"/>
        <family val="3"/>
        <charset val="136"/>
      </rPr>
      <t>少花的台茶</t>
    </r>
    <r>
      <rPr>
        <sz val="10"/>
        <color theme="1"/>
        <rFont val="Times New Roman"/>
        <family val="1"/>
      </rPr>
      <t>14</t>
    </r>
    <r>
      <rPr>
        <sz val="10"/>
        <color theme="1"/>
        <rFont val="細明體"/>
        <family val="3"/>
        <charset val="136"/>
      </rPr>
      <t>、</t>
    </r>
    <r>
      <rPr>
        <sz val="10"/>
        <color theme="1"/>
        <rFont val="Times New Roman"/>
        <family val="1"/>
      </rPr>
      <t>17</t>
    </r>
    <r>
      <rPr>
        <sz val="10"/>
        <color theme="1"/>
        <rFont val="細明體"/>
        <family val="3"/>
        <charset val="136"/>
      </rPr>
      <t>號則要延到</t>
    </r>
    <r>
      <rPr>
        <sz val="10"/>
        <color theme="1"/>
        <rFont val="Times New Roman"/>
        <family val="1"/>
      </rPr>
      <t>6⽉</t>
    </r>
    <r>
      <rPr>
        <sz val="10"/>
        <color theme="1"/>
        <rFont val="細明體"/>
        <family val="3"/>
        <charset val="136"/>
      </rPr>
      <t>上旬才能發現。
氮素缺乏、施用複合肥料中磷肥比例過</t>
    </r>
    <r>
      <rPr>
        <sz val="10"/>
        <color theme="1"/>
        <rFont val="Times New Roman"/>
        <family val="1"/>
      </rPr>
      <t>⾼</t>
    </r>
    <r>
      <rPr>
        <sz val="10"/>
        <color theme="1"/>
        <rFont val="細明體"/>
        <family val="3"/>
        <charset val="136"/>
      </rPr>
      <t>、以及施</t>
    </r>
    <r>
      <rPr>
        <sz val="10"/>
        <color theme="1"/>
        <rFont val="Times New Roman"/>
        <family val="1"/>
      </rPr>
      <t>⽤</t>
    </r>
    <r>
      <rPr>
        <sz val="10"/>
        <color theme="1"/>
        <rFont val="細明體"/>
        <family val="3"/>
        <charset val="136"/>
      </rPr>
      <t>過多</t>
    </r>
    <r>
      <rPr>
        <sz val="10"/>
        <color theme="1"/>
        <rFont val="Times New Roman"/>
        <family val="1"/>
      </rPr>
      <t>⾼</t>
    </r>
    <r>
      <rPr>
        <sz val="10"/>
        <color theme="1"/>
        <rFont val="細明體"/>
        <family val="3"/>
        <charset val="136"/>
      </rPr>
      <t>碳有機質</t>
    </r>
    <r>
      <rPr>
        <sz val="10"/>
        <color theme="1"/>
        <rFont val="Times New Roman"/>
        <family val="1"/>
      </rPr>
      <t>(</t>
    </r>
    <r>
      <rPr>
        <sz val="10"/>
        <color theme="1"/>
        <rFont val="細明體"/>
        <family val="3"/>
        <charset val="136"/>
      </rPr>
      <t>降低氮素的可利</t>
    </r>
    <r>
      <rPr>
        <sz val="10"/>
        <color theme="1"/>
        <rFont val="Times New Roman"/>
        <family val="1"/>
      </rPr>
      <t>⽤</t>
    </r>
    <r>
      <rPr>
        <sz val="10"/>
        <color theme="1"/>
        <rFont val="細明體"/>
        <family val="3"/>
        <charset val="136"/>
      </rPr>
      <t>率</t>
    </r>
    <r>
      <rPr>
        <sz val="10"/>
        <color theme="1"/>
        <rFont val="Times New Roman"/>
        <family val="1"/>
      </rPr>
      <t>)</t>
    </r>
    <r>
      <rPr>
        <sz val="10"/>
        <color theme="1"/>
        <rFont val="細明體"/>
        <family val="3"/>
        <charset val="136"/>
      </rPr>
      <t>，均會促進開花結果。
乾旱、低溫、短</t>
    </r>
    <r>
      <rPr>
        <sz val="10"/>
        <color theme="1"/>
        <rFont val="Times New Roman"/>
        <family val="1"/>
      </rPr>
      <t>⽇</t>
    </r>
    <r>
      <rPr>
        <sz val="10"/>
        <color theme="1"/>
        <rFont val="細明體"/>
        <family val="3"/>
        <charset val="136"/>
      </rPr>
      <t>、根系吸收能力衰退等，會促進花蕾的發育。不當的採摘、修剪，造成</t>
    </r>
    <r>
      <rPr>
        <sz val="10"/>
        <color theme="1"/>
        <rFont val="Times New Roman"/>
        <family val="1"/>
      </rPr>
      <t>⽣⻑</t>
    </r>
    <r>
      <rPr>
        <sz val="10"/>
        <color theme="1"/>
        <rFont val="細明體"/>
        <family val="3"/>
        <charset val="136"/>
      </rPr>
      <t>勢逐漸衰退，也會促進花蕾的發育。</t>
    </r>
    <phoneticPr fontId="1" type="noConversion"/>
  </si>
  <si>
    <r>
      <rPr>
        <sz val="10"/>
        <color theme="1"/>
        <rFont val="新細明體"/>
        <family val="2"/>
        <charset val="136"/>
      </rPr>
      <t>確認造成異常開花的原因。
調整所施用肥料之三要素比例為</t>
    </r>
    <r>
      <rPr>
        <sz val="10"/>
        <color theme="1"/>
        <rFont val="Times New Roman"/>
        <family val="1"/>
      </rPr>
      <t>5:1:2</t>
    </r>
    <r>
      <rPr>
        <sz val="10"/>
        <color theme="1"/>
        <rFont val="新細明體"/>
        <family val="2"/>
        <charset val="136"/>
      </rPr>
      <t>。
調進</t>
    </r>
    <r>
      <rPr>
        <sz val="10"/>
        <color theme="1"/>
        <rFont val="Times New Roman"/>
        <family val="1"/>
      </rPr>
      <t>⾏</t>
    </r>
    <r>
      <rPr>
        <sz val="10"/>
        <color theme="1"/>
        <rFont val="新細明體"/>
        <family val="2"/>
        <charset val="136"/>
      </rPr>
      <t>適度剪枝與採摘，並輔以葉</t>
    </r>
    <r>
      <rPr>
        <sz val="10"/>
        <color theme="1"/>
        <rFont val="Times New Roman"/>
        <family val="1"/>
      </rPr>
      <t>⾯</t>
    </r>
    <r>
      <rPr>
        <sz val="10"/>
        <color theme="1"/>
        <rFont val="新細明體"/>
        <family val="2"/>
        <charset val="136"/>
      </rPr>
      <t>氮肥的補充，將可促進腋芽萌發，抑制花芽</t>
    </r>
    <r>
      <rPr>
        <sz val="10"/>
        <color theme="1"/>
        <rFont val="Times New Roman"/>
        <family val="1"/>
      </rPr>
      <t>⽣⻑</t>
    </r>
    <r>
      <rPr>
        <sz val="10"/>
        <color theme="1"/>
        <rFont val="新細明體"/>
        <family val="2"/>
        <charset val="136"/>
      </rPr>
      <t>，減少開花量。</t>
    </r>
    <phoneticPr fontId="1" type="noConversion"/>
  </si>
  <si>
    <r>
      <rPr>
        <sz val="10"/>
        <color theme="1"/>
        <rFont val="細明體"/>
        <family val="3"/>
        <charset val="136"/>
      </rPr>
      <t>充</t>
    </r>
    <r>
      <rPr>
        <sz val="10"/>
        <color theme="1"/>
        <rFont val="Times New Roman"/>
        <family val="1"/>
      </rPr>
      <t>⾜</t>
    </r>
    <r>
      <rPr>
        <sz val="10"/>
        <color theme="1"/>
        <rFont val="細明體"/>
        <family val="3"/>
        <charset val="136"/>
      </rPr>
      <t>的雨</t>
    </r>
    <r>
      <rPr>
        <sz val="10"/>
        <color theme="1"/>
        <rFont val="Times New Roman"/>
        <family val="1"/>
      </rPr>
      <t>⽔</t>
    </r>
    <r>
      <rPr>
        <sz val="10"/>
        <color theme="1"/>
        <rFont val="細明體"/>
        <family val="3"/>
        <charset val="136"/>
      </rPr>
      <t>、積溫</t>
    </r>
    <r>
      <rPr>
        <sz val="10"/>
        <color theme="1"/>
        <rFont val="Times New Roman"/>
        <family val="1"/>
      </rPr>
      <t>⾼</t>
    </r>
    <r>
      <rPr>
        <sz val="10"/>
        <color theme="1"/>
        <rFont val="細明體"/>
        <family val="3"/>
        <charset val="136"/>
      </rPr>
      <t>及</t>
    </r>
    <r>
      <rPr>
        <sz val="10"/>
        <color theme="1"/>
        <rFont val="Times New Roman"/>
        <family val="1"/>
      </rPr>
      <t>⻑⽇</t>
    </r>
    <r>
      <rPr>
        <sz val="10"/>
        <color theme="1"/>
        <rFont val="細明體"/>
        <family val="3"/>
        <charset val="136"/>
      </rPr>
      <t>等均會增加根對氮素的吸收，促進枝葉</t>
    </r>
    <r>
      <rPr>
        <sz val="10"/>
        <color theme="1"/>
        <rFont val="Times New Roman"/>
        <family val="1"/>
      </rPr>
      <t>⽣⻑</t>
    </r>
    <r>
      <rPr>
        <sz val="10"/>
        <color theme="1"/>
        <rFont val="細明體"/>
        <family val="3"/>
        <charset val="136"/>
      </rPr>
      <t>，造成</t>
    </r>
    <r>
      <rPr>
        <sz val="10"/>
        <color theme="1"/>
        <rFont val="Times New Roman"/>
        <family val="1"/>
      </rPr>
      <t>⼩</t>
    </r>
    <r>
      <rPr>
        <sz val="10"/>
        <color theme="1"/>
        <rFont val="細明體"/>
        <family val="3"/>
        <charset val="136"/>
      </rPr>
      <t xml:space="preserve">花脫落。
</t>
    </r>
    <r>
      <rPr>
        <sz val="10"/>
        <color theme="1"/>
        <rFont val="Times New Roman"/>
        <family val="1"/>
      </rPr>
      <t>⼟</t>
    </r>
    <r>
      <rPr>
        <sz val="10"/>
        <color theme="1"/>
        <rFont val="細明體"/>
        <family val="3"/>
        <charset val="136"/>
      </rPr>
      <t>層瘠薄或粘重，且開園時未將粘盤層打破，充分翻犁之茶園，地下排</t>
    </r>
    <r>
      <rPr>
        <sz val="10"/>
        <color theme="1"/>
        <rFont val="Times New Roman"/>
        <family val="1"/>
      </rPr>
      <t>⽔</t>
    </r>
    <r>
      <rPr>
        <sz val="10"/>
        <color theme="1"/>
        <rFont val="細明體"/>
        <family val="3"/>
        <charset val="136"/>
      </rPr>
      <t>不良，茶樹根群的吸收能</t>
    </r>
    <r>
      <rPr>
        <sz val="10"/>
        <color theme="1"/>
        <rFont val="Times New Roman"/>
        <family val="1"/>
      </rPr>
      <t>⼒</t>
    </r>
    <r>
      <rPr>
        <sz val="10"/>
        <color theme="1"/>
        <rFont val="細明體"/>
        <family val="3"/>
        <charset val="136"/>
      </rPr>
      <t>低，會減少新梢</t>
    </r>
    <r>
      <rPr>
        <sz val="10"/>
        <color theme="1"/>
        <rFont val="Times New Roman"/>
        <family val="1"/>
      </rPr>
      <t>⽣⻑</t>
    </r>
    <r>
      <rPr>
        <sz val="10"/>
        <color theme="1"/>
        <rFont val="細明體"/>
        <family val="3"/>
        <charset val="136"/>
      </rPr>
      <t>，促進花蕾的發育。</t>
    </r>
    <phoneticPr fontId="1" type="noConversion"/>
  </si>
  <si>
    <t>#2212</t>
    <phoneticPr fontId="1" type="noConversion"/>
  </si>
  <si>
    <t>#2221</t>
    <phoneticPr fontId="1" type="noConversion"/>
  </si>
  <si>
    <t>Answer-5</t>
    <phoneticPr fontId="1" type="noConversion"/>
  </si>
  <si>
    <r>
      <rPr>
        <sz val="10"/>
        <color theme="1"/>
        <rFont val="細明體"/>
        <family val="3"/>
        <charset val="136"/>
      </rPr>
      <t>鈣可能過多。</t>
    </r>
    <phoneticPr fontId="1" type="noConversion"/>
  </si>
  <si>
    <r>
      <rPr>
        <sz val="10"/>
        <color theme="1"/>
        <rFont val="細明體"/>
        <family val="3"/>
        <charset val="136"/>
      </rPr>
      <t>土壤</t>
    </r>
    <r>
      <rPr>
        <sz val="10"/>
        <color theme="1"/>
        <rFont val="Times New Roman"/>
        <family val="1"/>
      </rPr>
      <t>pH</t>
    </r>
    <r>
      <rPr>
        <sz val="10"/>
        <color theme="1"/>
        <rFont val="細明體"/>
        <family val="3"/>
        <charset val="136"/>
      </rPr>
      <t>還適合茶樹生長。</t>
    </r>
    <phoneticPr fontId="1" type="noConversion"/>
  </si>
  <si>
    <r>
      <t>pH</t>
    </r>
    <r>
      <rPr>
        <sz val="10"/>
        <color theme="1"/>
        <rFont val="細明體"/>
        <family val="3"/>
        <charset val="136"/>
      </rPr>
      <t>高，土壤中的鈣含量也可能偏高。
茶樹對鈣的需求比一般作物低十幾倍至數十倍，土壤中活性鈣超過</t>
    </r>
    <r>
      <rPr>
        <sz val="10"/>
        <color theme="1"/>
        <rFont val="Times New Roman"/>
        <family val="1"/>
      </rPr>
      <t>0.5%(CaO</t>
    </r>
    <r>
      <rPr>
        <sz val="10"/>
        <color theme="1"/>
        <rFont val="細明體"/>
        <family val="3"/>
        <charset val="136"/>
      </rPr>
      <t>計</t>
    </r>
    <r>
      <rPr>
        <sz val="10"/>
        <color theme="1"/>
        <rFont val="Times New Roman"/>
        <family val="1"/>
      </rPr>
      <t>)</t>
    </r>
    <r>
      <rPr>
        <sz val="10"/>
        <color theme="1"/>
        <rFont val="細明體"/>
        <family val="3"/>
        <charset val="136"/>
      </rPr>
      <t xml:space="preserve">，茶樹生長就不正常，甚至死亡。
</t>
    </r>
    <phoneticPr fontId="1" type="noConversion"/>
  </si>
  <si>
    <r>
      <t>pH</t>
    </r>
    <r>
      <rPr>
        <sz val="10"/>
        <color theme="1"/>
        <rFont val="細明體"/>
        <family val="3"/>
        <charset val="136"/>
      </rPr>
      <t>偏高的茶園，可施用硫酸鋁肥料，以滿足茶樹對鋁元素的需求。
鋁可提高葉片光和能力，促進茶樹對磷的吸收，促進茶氨酸轉化成兒茶素。</t>
    </r>
    <phoneticPr fontId="1" type="noConversion"/>
  </si>
  <si>
    <t>Cabbage or Yam was the previous crop ?</t>
    <phoneticPr fontId="1" type="noConversion"/>
  </si>
  <si>
    <r>
      <rPr>
        <sz val="10"/>
        <color theme="1"/>
        <rFont val="新細明體"/>
        <family val="2"/>
        <charset val="136"/>
      </rPr>
      <t>前作為高麗菜或山藥？</t>
    </r>
    <phoneticPr fontId="1" type="noConversion"/>
  </si>
  <si>
    <r>
      <rPr>
        <sz val="10"/>
        <color theme="1"/>
        <rFont val="細明體"/>
        <family val="3"/>
        <charset val="136"/>
      </rPr>
      <t>鎂可能會因鈣過多而缺乏。</t>
    </r>
    <phoneticPr fontId="1" type="noConversion"/>
  </si>
  <si>
    <r>
      <rPr>
        <sz val="10"/>
        <color theme="1"/>
        <rFont val="細明體"/>
        <family val="3"/>
        <charset val="136"/>
      </rPr>
      <t>沒有明顯的鈣過多徵狀。</t>
    </r>
    <phoneticPr fontId="1" type="noConversion"/>
  </si>
  <si>
    <r>
      <rPr>
        <sz val="10"/>
        <color theme="1"/>
        <rFont val="細明體"/>
        <family val="3"/>
        <charset val="136"/>
      </rPr>
      <t>前作種植高麗菜或山藥會施用大量石灰等鹼性資材。
鈣鎂擷抗作用可能導致葉片呈現缺鎂徵狀</t>
    </r>
    <r>
      <rPr>
        <sz val="10"/>
        <color theme="1"/>
        <rFont val="Times New Roman"/>
        <family val="1"/>
      </rPr>
      <t>(</t>
    </r>
    <r>
      <rPr>
        <sz val="10"/>
        <color theme="1"/>
        <rFont val="細明體"/>
        <family val="3"/>
        <charset val="136"/>
      </rPr>
      <t>成熟葉從葉緣向葉脈間黃化，但葉緣處無斑點</t>
    </r>
    <r>
      <rPr>
        <sz val="10"/>
        <color theme="1"/>
        <rFont val="Times New Roman"/>
        <family val="1"/>
      </rPr>
      <t>)</t>
    </r>
    <r>
      <rPr>
        <sz val="10"/>
        <color theme="1"/>
        <rFont val="細明體"/>
        <family val="3"/>
        <charset val="136"/>
      </rPr>
      <t>。
通常是幼株比成株更易受到影響，且應該是全園都生長不良。</t>
    </r>
    <phoneticPr fontId="1" type="noConversion"/>
  </si>
  <si>
    <t>Young plants die and using fertilizers containing cloride?</t>
    <phoneticPr fontId="1" type="noConversion"/>
  </si>
  <si>
    <t>#2200</t>
    <phoneticPr fontId="1" type="noConversion"/>
  </si>
  <si>
    <r>
      <rPr>
        <sz val="10"/>
        <color theme="1"/>
        <rFont val="新細明體"/>
        <family val="2"/>
        <charset val="136"/>
      </rPr>
      <t>幼株易死亡，且施用含氯肥料？</t>
    </r>
    <phoneticPr fontId="1" type="noConversion"/>
  </si>
  <si>
    <r>
      <rPr>
        <sz val="10"/>
        <color theme="1"/>
        <rFont val="細明體"/>
        <family val="3"/>
        <charset val="136"/>
      </rPr>
      <t>氯可能過多。</t>
    </r>
    <phoneticPr fontId="1" type="noConversion"/>
  </si>
  <si>
    <r>
      <rPr>
        <sz val="10"/>
        <color theme="1"/>
        <rFont val="細明體"/>
        <family val="3"/>
        <charset val="136"/>
      </rPr>
      <t>沒有明顯的氯過多徵狀。</t>
    </r>
    <phoneticPr fontId="1" type="noConversion"/>
  </si>
  <si>
    <r>
      <rPr>
        <sz val="10"/>
        <color theme="1"/>
        <rFont val="細明體"/>
        <family val="3"/>
        <charset val="136"/>
      </rPr>
      <t>茶園中施用過量含氯肥料</t>
    </r>
    <r>
      <rPr>
        <sz val="10"/>
        <color theme="1"/>
        <rFont val="Times New Roman"/>
        <family val="1"/>
      </rPr>
      <t>(</t>
    </r>
    <r>
      <rPr>
        <sz val="10"/>
        <color theme="1"/>
        <rFont val="細明體"/>
        <family val="3"/>
        <charset val="136"/>
      </rPr>
      <t>如氯化銨、氯化鉀、海藻肥</t>
    </r>
    <r>
      <rPr>
        <sz val="10"/>
        <color theme="1"/>
        <rFont val="Times New Roman"/>
        <family val="1"/>
      </rPr>
      <t>)</t>
    </r>
    <r>
      <rPr>
        <sz val="10"/>
        <color theme="1"/>
        <rFont val="細明體"/>
        <family val="3"/>
        <charset val="136"/>
      </rPr>
      <t>，或臨海茶園受海風夾帶鹽沫影響，容易造成氯害。
幼年期若是接觸到氯離子易造成從葉緣向內黃化、壞疽、捲縮、枝梢枯死等症狀發生。</t>
    </r>
    <phoneticPr fontId="1" type="noConversion"/>
  </si>
  <si>
    <r>
      <rPr>
        <sz val="10"/>
        <color theme="1"/>
        <rFont val="細明體"/>
        <family val="3"/>
        <charset val="136"/>
      </rPr>
      <t>仍有待提供案例相片。</t>
    </r>
    <phoneticPr fontId="1" type="noConversion"/>
  </si>
  <si>
    <r>
      <rPr>
        <sz val="10"/>
        <color theme="1"/>
        <rFont val="細明體"/>
        <family val="3"/>
        <charset val="136"/>
      </rPr>
      <t>不要施用含氯肥料</t>
    </r>
    <r>
      <rPr>
        <sz val="10"/>
        <color theme="1"/>
        <rFont val="Times New Roman"/>
        <family val="1"/>
      </rPr>
      <t>(</t>
    </r>
    <r>
      <rPr>
        <sz val="10"/>
        <color theme="1"/>
        <rFont val="細明體"/>
        <family val="3"/>
        <charset val="136"/>
      </rPr>
      <t>如氯化銨、氯化鉀</t>
    </r>
    <r>
      <rPr>
        <sz val="10"/>
        <color theme="1"/>
        <rFont val="Times New Roman"/>
        <family val="1"/>
      </rPr>
      <t>)</t>
    </r>
    <r>
      <rPr>
        <sz val="10"/>
        <color theme="1"/>
        <rFont val="細明體"/>
        <family val="3"/>
        <charset val="136"/>
      </rPr>
      <t>。可改施用硫銨、硫酸鉀，或台肥</t>
    </r>
    <r>
      <rPr>
        <sz val="10"/>
        <color theme="1"/>
        <rFont val="Times New Roman"/>
        <family val="1"/>
      </rPr>
      <t>43</t>
    </r>
    <r>
      <rPr>
        <sz val="10"/>
        <color theme="1"/>
        <rFont val="細明體"/>
        <family val="3"/>
        <charset val="136"/>
      </rPr>
      <t>號即溶複合肥料</t>
    </r>
    <r>
      <rPr>
        <sz val="10"/>
        <color theme="1"/>
        <rFont val="Times New Roman"/>
        <family val="1"/>
      </rPr>
      <t>(15:15:15:4</t>
    </r>
    <r>
      <rPr>
        <sz val="10"/>
        <color theme="1"/>
        <rFont val="細明體"/>
        <family val="3"/>
        <charset val="136"/>
      </rPr>
      <t>，</t>
    </r>
    <r>
      <rPr>
        <sz val="10"/>
        <color theme="1"/>
        <rFont val="Times New Roman"/>
        <family val="1"/>
      </rPr>
      <t>MgO)</t>
    </r>
    <r>
      <rPr>
        <sz val="10"/>
        <color theme="1"/>
        <rFont val="細明體"/>
        <family val="3"/>
        <charset val="136"/>
      </rPr>
      <t>。</t>
    </r>
    <r>
      <rPr>
        <sz val="10"/>
        <color theme="1"/>
        <rFont val="Times New Roman"/>
        <family val="1"/>
      </rPr>
      <t xml:space="preserve">
</t>
    </r>
    <r>
      <rPr>
        <sz val="10"/>
        <color theme="1"/>
        <rFont val="細明體"/>
        <family val="3"/>
        <charset val="136"/>
      </rPr>
      <t>幼老葉含氯量超過</t>
    </r>
    <r>
      <rPr>
        <sz val="10"/>
        <color theme="1"/>
        <rFont val="Times New Roman"/>
        <family val="1"/>
      </rPr>
      <t>0.8%</t>
    </r>
    <r>
      <rPr>
        <sz val="10"/>
        <color theme="1"/>
        <rFont val="細明體"/>
        <family val="3"/>
        <charset val="136"/>
      </rPr>
      <t>，芽葉低於</t>
    </r>
    <r>
      <rPr>
        <sz val="10"/>
        <color theme="1"/>
        <rFont val="Times New Roman"/>
        <family val="1"/>
      </rPr>
      <t>0.4%</t>
    </r>
    <r>
      <rPr>
        <sz val="10"/>
        <color theme="1"/>
        <rFont val="細明體"/>
        <family val="3"/>
        <charset val="136"/>
      </rPr>
      <t>，就會表現出氯害徵狀。</t>
    </r>
    <phoneticPr fontId="1" type="noConversion"/>
  </si>
  <si>
    <t>May have nutrients execess problems</t>
    <phoneticPr fontId="1" type="noConversion"/>
  </si>
  <si>
    <t>#2301</t>
    <phoneticPr fontId="1" type="noConversion"/>
  </si>
  <si>
    <r>
      <rPr>
        <sz val="10"/>
        <color rgb="FFFF0000"/>
        <rFont val="新細明體"/>
        <family val="1"/>
        <charset val="136"/>
      </rPr>
      <t>可能有營養元素過多</t>
    </r>
    <r>
      <rPr>
        <sz val="10"/>
        <color rgb="FFFF0000"/>
        <rFont val="Times New Roman"/>
        <family val="1"/>
      </rPr>
      <t>/</t>
    </r>
    <r>
      <rPr>
        <sz val="10"/>
        <color rgb="FFFF0000"/>
        <rFont val="新細明體"/>
        <family val="1"/>
        <charset val="136"/>
      </rPr>
      <t>毒害問題</t>
    </r>
    <phoneticPr fontId="1" type="noConversion"/>
  </si>
  <si>
    <t>Main Branch 2, Secondary Branch 3: Nutrients and Water Easily Lost Diagnosis</t>
    <phoneticPr fontId="1" type="noConversion"/>
  </si>
  <si>
    <r>
      <rPr>
        <sz val="10"/>
        <color rgb="FFFF0000"/>
        <rFont val="細明體"/>
        <family val="3"/>
        <charset val="136"/>
      </rPr>
      <t>水分養分是否易於流失</t>
    </r>
    <phoneticPr fontId="1" type="noConversion"/>
  </si>
  <si>
    <t>#2311</t>
    <phoneticPr fontId="1" type="noConversion"/>
  </si>
  <si>
    <t>Answer-6</t>
    <phoneticPr fontId="1" type="noConversion"/>
  </si>
  <si>
    <r>
      <t>ECe</t>
    </r>
    <r>
      <rPr>
        <sz val="10"/>
        <color theme="1"/>
        <rFont val="新細明體"/>
        <family val="2"/>
        <charset val="136"/>
      </rPr>
      <t>太低，可能因為養分被淋失，也可能因施肥量不夠所導致。</t>
    </r>
    <phoneticPr fontId="1" type="noConversion"/>
  </si>
  <si>
    <r>
      <t xml:space="preserve">ECe &gt; 0.2 dS m-1 </t>
    </r>
    <r>
      <rPr>
        <sz val="10"/>
        <color theme="1"/>
        <rFont val="細明體"/>
        <family val="3"/>
        <charset val="136"/>
      </rPr>
      <t>。</t>
    </r>
    <phoneticPr fontId="1" type="noConversion"/>
  </si>
  <si>
    <r>
      <rPr>
        <sz val="10"/>
        <color theme="1"/>
        <rFont val="細明體"/>
        <family val="3"/>
        <charset val="136"/>
      </rPr>
      <t>利用可攜式</t>
    </r>
    <r>
      <rPr>
        <sz val="10"/>
        <color theme="1"/>
        <rFont val="Times New Roman"/>
        <family val="1"/>
      </rPr>
      <t>EC</t>
    </r>
    <r>
      <rPr>
        <sz val="10"/>
        <color theme="1"/>
        <rFont val="細明體"/>
        <family val="3"/>
        <charset val="136"/>
      </rPr>
      <t>計檢測</t>
    </r>
    <r>
      <rPr>
        <sz val="10"/>
        <color theme="1"/>
        <rFont val="Times New Roman"/>
        <family val="1"/>
      </rPr>
      <t xml:space="preserve"> 
[dS/m = mS/cm= 1000uS/cm ~550 ppm (mg/L)]</t>
    </r>
    <r>
      <rPr>
        <sz val="10"/>
        <color theme="1"/>
        <rFont val="細明體"/>
        <family val="3"/>
        <charset val="136"/>
      </rPr>
      <t>。</t>
    </r>
    <phoneticPr fontId="1" type="noConversion"/>
  </si>
  <si>
    <t xml:space="preserve"> </t>
    <phoneticPr fontId="1" type="noConversion"/>
  </si>
  <si>
    <r>
      <rPr>
        <sz val="10"/>
        <color theme="1"/>
        <rFont val="細明體"/>
        <family val="3"/>
        <charset val="136"/>
      </rPr>
      <t>若屬於粗質地土壤，肥料宜分成多次施用，減少淋失損失。</t>
    </r>
    <phoneticPr fontId="1" type="noConversion"/>
  </si>
  <si>
    <t>#2300</t>
    <phoneticPr fontId="1" type="noConversion"/>
  </si>
  <si>
    <t>#2321</t>
    <phoneticPr fontId="1" type="noConversion"/>
  </si>
  <si>
    <r>
      <rPr>
        <sz val="10"/>
        <color theme="1"/>
        <rFont val="新細明體"/>
        <family val="2"/>
        <charset val="136"/>
      </rPr>
      <t>茶園土壤屬於砂土，水分養分易於流失。</t>
    </r>
    <phoneticPr fontId="1" type="noConversion"/>
  </si>
  <si>
    <r>
      <rPr>
        <sz val="10"/>
        <color theme="1"/>
        <rFont val="細明體"/>
        <family val="3"/>
        <charset val="136"/>
      </rPr>
      <t>茶園土壤不屬於砂土。</t>
    </r>
    <phoneticPr fontId="1" type="noConversion"/>
  </si>
  <si>
    <r>
      <rPr>
        <sz val="10"/>
        <color theme="1"/>
        <rFont val="細明體"/>
        <family val="3"/>
        <charset val="136"/>
      </rPr>
      <t>以手感觸摸法判斷土壤質地。取少量泥土，用水濕潤後，憑手指感覺對土壤質地作出判斷，方法如圖所示，可搭配網路影片學習，影片網址</t>
    </r>
    <r>
      <rPr>
        <sz val="10"/>
        <color theme="1"/>
        <rFont val="Times New Roman"/>
        <family val="1"/>
      </rPr>
      <t>: https://www.youtube.com/watch?v=GWZwbVJCNec</t>
    </r>
    <r>
      <rPr>
        <sz val="10"/>
        <color theme="1"/>
        <rFont val="細明體"/>
        <family val="3"/>
        <charset val="136"/>
      </rPr>
      <t>。</t>
    </r>
    <phoneticPr fontId="1" type="noConversion"/>
  </si>
  <si>
    <r>
      <rPr>
        <sz val="10"/>
        <color theme="1"/>
        <rFont val="細明體"/>
        <family val="3"/>
        <charset val="136"/>
      </rPr>
      <t>砂土無法搓成帶狀。</t>
    </r>
    <phoneticPr fontId="1" type="noConversion"/>
  </si>
  <si>
    <r>
      <rPr>
        <sz val="10"/>
        <color theme="1"/>
        <rFont val="細明體"/>
        <family val="3"/>
        <charset val="136"/>
      </rPr>
      <t>肥料應盡量分施，減少流失；或利用葉面施肥方式補充。</t>
    </r>
    <phoneticPr fontId="1" type="noConversion"/>
  </si>
  <si>
    <r>
      <rPr>
        <sz val="10"/>
        <color theme="1"/>
        <rFont val="新細明體"/>
        <family val="2"/>
        <charset val="136"/>
      </rPr>
      <t>茶園位於石礫地，水分養分易於流失。</t>
    </r>
    <phoneticPr fontId="1" type="noConversion"/>
  </si>
  <si>
    <r>
      <rPr>
        <sz val="10"/>
        <color theme="1"/>
        <rFont val="細明體"/>
        <family val="3"/>
        <charset val="136"/>
      </rPr>
      <t>茶園不位於石礫地。</t>
    </r>
    <phoneticPr fontId="1" type="noConversion"/>
  </si>
  <si>
    <r>
      <rPr>
        <sz val="10"/>
        <color theme="1"/>
        <rFont val="細明體"/>
        <family val="3"/>
        <charset val="136"/>
      </rPr>
      <t>可使用</t>
    </r>
    <r>
      <rPr>
        <sz val="10"/>
        <color theme="1"/>
        <rFont val="Times New Roman"/>
        <family val="1"/>
      </rPr>
      <t>(</t>
    </r>
    <r>
      <rPr>
        <sz val="10"/>
        <color theme="1"/>
        <rFont val="細明體"/>
        <family val="3"/>
        <charset val="136"/>
      </rPr>
      <t>簡易</t>
    </r>
    <r>
      <rPr>
        <sz val="10"/>
        <color theme="1"/>
        <rFont val="Times New Roman"/>
        <family val="1"/>
      </rPr>
      <t>)</t>
    </r>
    <r>
      <rPr>
        <sz val="10"/>
        <color theme="1"/>
        <rFont val="細明體"/>
        <family val="3"/>
        <charset val="136"/>
      </rPr>
      <t>穿刺阻力計協助判斷。</t>
    </r>
    <phoneticPr fontId="1" type="noConversion"/>
  </si>
  <si>
    <t>May have Nutrients and Water easily lost problem</t>
    <phoneticPr fontId="1" type="noConversion"/>
  </si>
  <si>
    <t>#2401</t>
    <phoneticPr fontId="1" type="noConversion"/>
  </si>
  <si>
    <r>
      <rPr>
        <sz val="10"/>
        <color rgb="FFFF0000"/>
        <rFont val="新細明體"/>
        <family val="1"/>
        <charset val="136"/>
      </rPr>
      <t>水分養分易於流失</t>
    </r>
    <phoneticPr fontId="1" type="noConversion"/>
  </si>
  <si>
    <t>Main Branch 2, Secondary Branch 4: Soil Compaction Diagnosis</t>
    <phoneticPr fontId="1" type="noConversion"/>
  </si>
  <si>
    <r>
      <rPr>
        <sz val="10"/>
        <color rgb="FFFF0000"/>
        <rFont val="細明體"/>
        <family val="3"/>
        <charset val="136"/>
      </rPr>
      <t>是否有土壤緊實問題</t>
    </r>
    <phoneticPr fontId="1" type="noConversion"/>
  </si>
  <si>
    <t>No grasses on the soil surface (bare soil) in the plantation?</t>
    <phoneticPr fontId="1" type="noConversion"/>
  </si>
  <si>
    <t>#2402</t>
    <phoneticPr fontId="1" type="noConversion"/>
  </si>
  <si>
    <r>
      <rPr>
        <sz val="10"/>
        <color theme="1"/>
        <rFont val="新細明體"/>
        <family val="2"/>
        <charset val="136"/>
      </rPr>
      <t>沒有敷蓋物</t>
    </r>
    <r>
      <rPr>
        <sz val="10"/>
        <color theme="1"/>
        <rFont val="Times New Roman"/>
        <family val="1"/>
      </rPr>
      <t>(</t>
    </r>
    <r>
      <rPr>
        <sz val="10"/>
        <color theme="1"/>
        <rFont val="新細明體"/>
        <family val="2"/>
        <charset val="136"/>
      </rPr>
      <t>或未實施草生栽培</t>
    </r>
    <r>
      <rPr>
        <sz val="10"/>
        <color theme="1"/>
        <rFont val="Times New Roman"/>
        <family val="1"/>
      </rPr>
      <t>)</t>
    </r>
    <r>
      <rPr>
        <sz val="10"/>
        <color theme="1"/>
        <rFont val="新細明體"/>
        <family val="2"/>
        <charset val="136"/>
      </rPr>
      <t>的茶園，地面幾乎看不到雜草</t>
    </r>
    <r>
      <rPr>
        <sz val="10"/>
        <color theme="1"/>
        <rFont val="Times New Roman"/>
        <family val="1"/>
      </rPr>
      <t>?</t>
    </r>
    <phoneticPr fontId="1" type="noConversion"/>
  </si>
  <si>
    <r>
      <rPr>
        <sz val="10"/>
        <color theme="1"/>
        <rFont val="新細明體"/>
        <family val="2"/>
        <charset val="136"/>
      </rPr>
      <t>可能使用殺草劑除草。</t>
    </r>
    <phoneticPr fontId="1" type="noConversion"/>
  </si>
  <si>
    <r>
      <rPr>
        <sz val="10"/>
        <color theme="1"/>
        <rFont val="細明體"/>
        <family val="3"/>
        <charset val="136"/>
      </rPr>
      <t>茶園地面有雜草。</t>
    </r>
    <phoneticPr fontId="1" type="noConversion"/>
  </si>
  <si>
    <r>
      <rPr>
        <sz val="10"/>
        <color theme="1"/>
        <rFont val="細明體"/>
        <family val="3"/>
        <charset val="136"/>
      </rPr>
      <t>茶園若採用淺耕或割草機的方式控制雜草，則雜草相應該相當多元。
使。</t>
    </r>
    <phoneticPr fontId="1" type="noConversion"/>
  </si>
  <si>
    <r>
      <t xml:space="preserve"> </t>
    </r>
    <r>
      <rPr>
        <sz val="10"/>
        <color theme="1"/>
        <rFont val="細明體"/>
        <family val="3"/>
        <charset val="136"/>
      </rPr>
      <t>盡量減少殺草劑的使用，採用淺耕刈草或草生栽培方法</t>
    </r>
    <r>
      <rPr>
        <sz val="10"/>
        <color theme="1"/>
        <rFont val="Times New Roman"/>
        <family val="1"/>
      </rPr>
      <t>(</t>
    </r>
    <r>
      <rPr>
        <sz val="10"/>
        <color theme="1"/>
        <rFont val="細明體"/>
        <family val="3"/>
        <charset val="136"/>
      </rPr>
      <t>最好為豆科，如台南改良場育成之「台南育七號」及「台南育八號」覆蓋大豆和多年生花生</t>
    </r>
    <r>
      <rPr>
        <sz val="10"/>
        <color theme="1"/>
        <rFont val="Times New Roman"/>
        <family val="1"/>
      </rPr>
      <t>)</t>
    </r>
    <r>
      <rPr>
        <sz val="10"/>
        <color theme="1"/>
        <rFont val="細明體"/>
        <family val="3"/>
        <charset val="136"/>
      </rPr>
      <t>，改善土壤理化和生物特性。</t>
    </r>
    <phoneticPr fontId="1" type="noConversion"/>
  </si>
  <si>
    <t>#2403</t>
    <phoneticPr fontId="1" type="noConversion"/>
  </si>
  <si>
    <t>Answer-9</t>
    <phoneticPr fontId="1" type="noConversion"/>
  </si>
  <si>
    <r>
      <rPr>
        <sz val="10"/>
        <color theme="1"/>
        <rFont val="新細明體"/>
        <family val="2"/>
        <charset val="136"/>
      </rPr>
      <t>土表密實，灌溉水不容易入滲，容易導致根系缺水；土壤空氣不易與大氣進行交換，容易導致根系因缺氧而受傷。</t>
    </r>
    <phoneticPr fontId="1" type="noConversion"/>
  </si>
  <si>
    <r>
      <rPr>
        <sz val="10"/>
        <color theme="1"/>
        <rFont val="細明體"/>
        <family val="3"/>
        <charset val="136"/>
      </rPr>
      <t>表土並非相當緊實。</t>
    </r>
    <phoneticPr fontId="1" type="noConversion"/>
  </si>
  <si>
    <r>
      <rPr>
        <sz val="10"/>
        <color theme="1"/>
        <rFont val="細明體"/>
        <family val="3"/>
        <charset val="136"/>
      </rPr>
      <t>通常很久未中耕，且使用殺草劑除草，容易導致表土緊實。
使用</t>
    </r>
    <r>
      <rPr>
        <sz val="10"/>
        <color theme="1"/>
        <rFont val="Times New Roman"/>
        <family val="1"/>
      </rPr>
      <t>(</t>
    </r>
    <r>
      <rPr>
        <sz val="10"/>
        <color theme="1"/>
        <rFont val="細明體"/>
        <family val="3"/>
        <charset val="136"/>
      </rPr>
      <t>簡易</t>
    </r>
    <r>
      <rPr>
        <sz val="10"/>
        <color theme="1"/>
        <rFont val="Times New Roman"/>
        <family val="1"/>
      </rPr>
      <t>)</t>
    </r>
    <r>
      <rPr>
        <sz val="10"/>
        <color theme="1"/>
        <rFont val="細明體"/>
        <family val="3"/>
        <charset val="136"/>
      </rPr>
      <t>穿刺阻力計協助判斷。</t>
    </r>
    <phoneticPr fontId="1" type="noConversion"/>
  </si>
  <si>
    <r>
      <rPr>
        <sz val="10"/>
        <color theme="1"/>
        <rFont val="細明體"/>
        <family val="3"/>
        <charset val="136"/>
      </rPr>
      <t>將中耕與追肥結合。於每次採收結束後開</t>
    </r>
    <r>
      <rPr>
        <sz val="10"/>
        <color theme="1"/>
        <rFont val="Times New Roman"/>
        <family val="1"/>
      </rPr>
      <t xml:space="preserve">10 cm </t>
    </r>
    <r>
      <rPr>
        <sz val="10"/>
        <color theme="1"/>
        <rFont val="細明體"/>
        <family val="3"/>
        <charset val="136"/>
      </rPr>
      <t>深溝施追肥，施肥溝每次輪換。
追肥佔年施肥量的</t>
    </r>
    <r>
      <rPr>
        <sz val="10"/>
        <color theme="1"/>
        <rFont val="Times New Roman"/>
        <family val="1"/>
      </rPr>
      <t>60%</t>
    </r>
    <r>
      <rPr>
        <sz val="10"/>
        <color theme="1"/>
        <rFont val="細明體"/>
        <family val="3"/>
        <charset val="136"/>
      </rPr>
      <t>，按春</t>
    </r>
    <r>
      <rPr>
        <sz val="10"/>
        <color theme="1"/>
        <rFont val="Times New Roman"/>
        <family val="1"/>
      </rPr>
      <t>(</t>
    </r>
    <r>
      <rPr>
        <sz val="10"/>
        <color theme="1"/>
        <rFont val="細明體"/>
        <family val="3"/>
        <charset val="136"/>
      </rPr>
      <t>春茶前</t>
    </r>
    <r>
      <rPr>
        <sz val="10"/>
        <color theme="1"/>
        <rFont val="Times New Roman"/>
        <family val="1"/>
      </rPr>
      <t>1</t>
    </r>
    <r>
      <rPr>
        <sz val="10"/>
        <color theme="1"/>
        <rFont val="細明體"/>
        <family val="3"/>
        <charset val="136"/>
      </rPr>
      <t>個月</t>
    </r>
    <r>
      <rPr>
        <sz val="10"/>
        <color theme="1"/>
        <rFont val="Times New Roman"/>
        <family val="1"/>
      </rPr>
      <t>)</t>
    </r>
    <r>
      <rPr>
        <sz val="10"/>
        <color theme="1"/>
        <rFont val="細明體"/>
        <family val="3"/>
        <charset val="136"/>
      </rPr>
      <t>夏</t>
    </r>
    <r>
      <rPr>
        <sz val="10"/>
        <color theme="1"/>
        <rFont val="Times New Roman"/>
        <family val="1"/>
      </rPr>
      <t>(</t>
    </r>
    <r>
      <rPr>
        <sz val="10"/>
        <color theme="1"/>
        <rFont val="細明體"/>
        <family val="3"/>
        <charset val="136"/>
      </rPr>
      <t>春茶後</t>
    </r>
    <r>
      <rPr>
        <sz val="10"/>
        <color theme="1"/>
        <rFont val="Times New Roman"/>
        <family val="1"/>
      </rPr>
      <t>1</t>
    </r>
    <r>
      <rPr>
        <sz val="10"/>
        <color theme="1"/>
        <rFont val="細明體"/>
        <family val="3"/>
        <charset val="136"/>
      </rPr>
      <t>個月</t>
    </r>
    <r>
      <rPr>
        <sz val="10"/>
        <color theme="1"/>
        <rFont val="Times New Roman"/>
        <family val="1"/>
      </rPr>
      <t>)</t>
    </r>
    <r>
      <rPr>
        <sz val="10"/>
        <color theme="1"/>
        <rFont val="細明體"/>
        <family val="3"/>
        <charset val="136"/>
      </rPr>
      <t>秋</t>
    </r>
    <r>
      <rPr>
        <sz val="10"/>
        <color theme="1"/>
        <rFont val="Times New Roman"/>
        <family val="1"/>
      </rPr>
      <t>(</t>
    </r>
    <r>
      <rPr>
        <sz val="10"/>
        <color theme="1"/>
        <rFont val="細明體"/>
        <family val="3"/>
        <charset val="136"/>
      </rPr>
      <t>夏茶後</t>
    </r>
    <r>
      <rPr>
        <sz val="10"/>
        <color theme="1"/>
        <rFont val="Times New Roman"/>
        <family val="1"/>
      </rPr>
      <t>)</t>
    </r>
    <r>
      <rPr>
        <sz val="10"/>
        <color theme="1"/>
        <rFont val="細明體"/>
        <family val="3"/>
        <charset val="136"/>
      </rPr>
      <t>三季施用，分配比約為</t>
    </r>
    <r>
      <rPr>
        <sz val="10"/>
        <color theme="1"/>
        <rFont val="Times New Roman"/>
        <family val="1"/>
      </rPr>
      <t>4:3:3</t>
    </r>
    <r>
      <rPr>
        <sz val="10"/>
        <color theme="1"/>
        <rFont val="細明體"/>
        <family val="3"/>
        <charset val="136"/>
      </rPr>
      <t>或</t>
    </r>
    <r>
      <rPr>
        <sz val="10"/>
        <color theme="1"/>
        <rFont val="Times New Roman"/>
        <family val="1"/>
      </rPr>
      <t>5:2:3</t>
    </r>
    <r>
      <rPr>
        <sz val="10"/>
        <color theme="1"/>
        <rFont val="細明體"/>
        <family val="3"/>
        <charset val="136"/>
      </rPr>
      <t>。</t>
    </r>
    <phoneticPr fontId="1" type="noConversion"/>
  </si>
  <si>
    <r>
      <rPr>
        <sz val="10"/>
        <color theme="1"/>
        <rFont val="細明體"/>
        <family val="3"/>
        <charset val="136"/>
      </rPr>
      <t>每結合夏茶後追肥結合淺耕鋤草翻土。植株生長不高、不礙茶樹生長之草類應予保留</t>
    </r>
    <r>
      <rPr>
        <sz val="10"/>
        <color theme="1"/>
        <rFont val="Times New Roman"/>
        <family val="1"/>
      </rPr>
      <t>(</t>
    </r>
    <r>
      <rPr>
        <sz val="10"/>
        <color theme="1"/>
        <rFont val="細明體"/>
        <family val="3"/>
        <charset val="136"/>
      </rPr>
      <t>最好為豆科</t>
    </r>
    <r>
      <rPr>
        <sz val="10"/>
        <color theme="1"/>
        <rFont val="Times New Roman"/>
        <family val="1"/>
      </rPr>
      <t xml:space="preserve">, </t>
    </r>
    <r>
      <rPr>
        <sz val="10"/>
        <color theme="1"/>
        <rFont val="細明體"/>
        <family val="3"/>
        <charset val="136"/>
      </rPr>
      <t>如台南改良場育成之「台南育七號」及「台南育八號」覆蓋大豆和多年生花生</t>
    </r>
    <r>
      <rPr>
        <sz val="10"/>
        <color theme="1"/>
        <rFont val="Times New Roman"/>
        <family val="1"/>
      </rPr>
      <t>)</t>
    </r>
    <r>
      <rPr>
        <sz val="10"/>
        <color theme="1"/>
        <rFont val="細明體"/>
        <family val="3"/>
        <charset val="136"/>
      </rPr>
      <t>。
有機質肥料施用在表土，易使根圈上移，宜施到土深</t>
    </r>
    <r>
      <rPr>
        <sz val="10"/>
        <color theme="1"/>
        <rFont val="Times New Roman"/>
        <family val="1"/>
      </rPr>
      <t>20-30 cm</t>
    </r>
    <r>
      <rPr>
        <sz val="10"/>
        <color theme="1"/>
        <rFont val="細明體"/>
        <family val="3"/>
        <charset val="136"/>
      </rPr>
      <t>。適度中耕和深耕會增加細根量。</t>
    </r>
    <phoneticPr fontId="1" type="noConversion"/>
  </si>
  <si>
    <t>#2404</t>
    <phoneticPr fontId="1" type="noConversion"/>
  </si>
  <si>
    <t>#2400</t>
    <phoneticPr fontId="1" type="noConversion"/>
  </si>
  <si>
    <r>
      <rPr>
        <sz val="10"/>
        <color theme="1"/>
        <rFont val="新細明體"/>
        <family val="2"/>
        <charset val="136"/>
      </rPr>
      <t>底土緊實不僅會限制根系向下伸展，無法利用儲存於底土中的水分和養分；也容易形成暫棲之地下水位，可能會導致根系因缺氧而受傷。</t>
    </r>
    <phoneticPr fontId="1" type="noConversion"/>
  </si>
  <si>
    <r>
      <rPr>
        <sz val="10"/>
        <color theme="1"/>
        <rFont val="細明體"/>
        <family val="3"/>
        <charset val="136"/>
      </rPr>
      <t>底土並非相當緊實。</t>
    </r>
    <phoneticPr fontId="1" type="noConversion"/>
  </si>
  <si>
    <r>
      <rPr>
        <sz val="10"/>
        <color theme="1"/>
        <rFont val="細明體"/>
        <family val="3"/>
        <charset val="136"/>
      </rPr>
      <t>每年應施用的基肥</t>
    </r>
    <r>
      <rPr>
        <sz val="10"/>
        <color theme="1"/>
        <rFont val="Times New Roman"/>
        <family val="1"/>
      </rPr>
      <t>(</t>
    </r>
    <r>
      <rPr>
        <sz val="10"/>
        <color theme="1"/>
        <rFont val="細明體"/>
        <family val="3"/>
        <charset val="136"/>
      </rPr>
      <t>一般在冬茶採收後大約</t>
    </r>
    <r>
      <rPr>
        <sz val="10"/>
        <color theme="1"/>
        <rFont val="Times New Roman"/>
        <family val="1"/>
      </rPr>
      <t>10</t>
    </r>
    <r>
      <rPr>
        <sz val="10"/>
        <color theme="1"/>
        <rFont val="細明體"/>
        <family val="3"/>
        <charset val="136"/>
      </rPr>
      <t>月底</t>
    </r>
    <r>
      <rPr>
        <sz val="10"/>
        <color theme="1"/>
        <rFont val="Times New Roman"/>
        <family val="1"/>
      </rPr>
      <t>-11</t>
    </r>
    <r>
      <rPr>
        <sz val="10"/>
        <color theme="1"/>
        <rFont val="細明體"/>
        <family val="3"/>
        <charset val="136"/>
      </rPr>
      <t>月初</t>
    </r>
    <r>
      <rPr>
        <sz val="10"/>
        <color theme="1"/>
        <rFont val="Times New Roman"/>
        <family val="1"/>
      </rPr>
      <t>)</t>
    </r>
    <r>
      <rPr>
        <sz val="10"/>
        <color theme="1"/>
        <rFont val="細明體"/>
        <family val="3"/>
        <charset val="136"/>
      </rPr>
      <t>，未經深耕拌入底土。
使用</t>
    </r>
    <r>
      <rPr>
        <sz val="10"/>
        <color theme="1"/>
        <rFont val="Times New Roman"/>
        <family val="1"/>
      </rPr>
      <t>(</t>
    </r>
    <r>
      <rPr>
        <sz val="10"/>
        <color theme="1"/>
        <rFont val="細明體"/>
        <family val="3"/>
        <charset val="136"/>
      </rPr>
      <t>簡易</t>
    </r>
    <r>
      <rPr>
        <sz val="10"/>
        <color theme="1"/>
        <rFont val="Times New Roman"/>
        <family val="1"/>
      </rPr>
      <t>)</t>
    </r>
    <r>
      <rPr>
        <sz val="10"/>
        <color theme="1"/>
        <rFont val="細明體"/>
        <family val="3"/>
        <charset val="136"/>
      </rPr>
      <t>穿刺阻力計協助判斷。</t>
    </r>
    <phoneticPr fontId="1" type="noConversion"/>
  </si>
  <si>
    <r>
      <rPr>
        <sz val="10"/>
        <color theme="1"/>
        <rFont val="細明體"/>
        <family val="3"/>
        <charset val="136"/>
      </rPr>
      <t>建園時使用腐熟的粗纖維有機質有機肥</t>
    </r>
    <r>
      <rPr>
        <sz val="10"/>
        <color theme="1"/>
        <rFont val="Times New Roman"/>
        <family val="1"/>
      </rPr>
      <t>10-100 ton/ha</t>
    </r>
    <r>
      <rPr>
        <sz val="10"/>
        <color theme="1"/>
        <rFont val="細明體"/>
        <family val="3"/>
        <charset val="136"/>
      </rPr>
      <t>作為底肥；腐熟完全，氮成分低</t>
    </r>
    <r>
      <rPr>
        <sz val="10"/>
        <color theme="1"/>
        <rFont val="Times New Roman"/>
        <family val="1"/>
      </rPr>
      <t>(&lt;2.5%)</t>
    </r>
    <r>
      <rPr>
        <sz val="10"/>
        <color theme="1"/>
        <rFont val="細明體"/>
        <family val="3"/>
        <charset val="136"/>
      </rPr>
      <t>、粗纖維多的一般堆肥</t>
    </r>
    <r>
      <rPr>
        <sz val="10"/>
        <color theme="1"/>
        <rFont val="Times New Roman"/>
        <family val="1"/>
      </rPr>
      <t>(</t>
    </r>
    <r>
      <rPr>
        <sz val="10"/>
        <color theme="1"/>
        <rFont val="細明體"/>
        <family val="3"/>
        <charset val="136"/>
      </rPr>
      <t>品目編號</t>
    </r>
    <r>
      <rPr>
        <sz val="10"/>
        <color theme="1"/>
        <rFont val="Times New Roman"/>
        <family val="1"/>
      </rPr>
      <t>5-10)</t>
    </r>
    <r>
      <rPr>
        <sz val="10"/>
        <color theme="1"/>
        <rFont val="細明體"/>
        <family val="3"/>
        <charset val="136"/>
      </rPr>
      <t>最宜，禽畜糞堆肥</t>
    </r>
    <r>
      <rPr>
        <sz val="10"/>
        <color theme="1"/>
        <rFont val="Times New Roman"/>
        <family val="1"/>
      </rPr>
      <t>(</t>
    </r>
    <r>
      <rPr>
        <sz val="10"/>
        <color theme="1"/>
        <rFont val="細明體"/>
        <family val="3"/>
        <charset val="136"/>
      </rPr>
      <t>品目編號</t>
    </r>
    <r>
      <rPr>
        <sz val="10"/>
        <color theme="1"/>
        <rFont val="Times New Roman"/>
        <family val="1"/>
      </rPr>
      <t>5-09)</t>
    </r>
    <r>
      <rPr>
        <sz val="10"/>
        <color theme="1"/>
        <rFont val="細明體"/>
        <family val="3"/>
        <charset val="136"/>
      </rPr>
      <t>亦可。量大時全園撒施，混拌入土至少</t>
    </r>
    <r>
      <rPr>
        <sz val="10"/>
        <color theme="1"/>
        <rFont val="Times New Roman"/>
        <family val="1"/>
      </rPr>
      <t>30 cm</t>
    </r>
    <r>
      <rPr>
        <sz val="10"/>
        <color theme="1"/>
        <rFont val="細明體"/>
        <family val="3"/>
        <charset val="136"/>
      </rPr>
      <t>；量小時集中條施，開</t>
    </r>
    <r>
      <rPr>
        <sz val="10"/>
        <color theme="1"/>
        <rFont val="Times New Roman"/>
        <family val="1"/>
      </rPr>
      <t>50 cm</t>
    </r>
    <r>
      <rPr>
        <sz val="10"/>
        <color theme="1"/>
        <rFont val="細明體"/>
        <family val="3"/>
        <charset val="136"/>
      </rPr>
      <t>深溝，分</t>
    </r>
    <r>
      <rPr>
        <sz val="10"/>
        <color theme="1"/>
        <rFont val="Times New Roman"/>
        <family val="1"/>
      </rPr>
      <t>3</t>
    </r>
    <r>
      <rPr>
        <sz val="10"/>
        <color theme="1"/>
        <rFont val="細明體"/>
        <family val="3"/>
        <charset val="136"/>
      </rPr>
      <t>層施用，逐層回填土壤。經幾個月的腐解土壤下沉後方可整地，在施肥溝上種植。
每年在茶樹地上部停止生長後施用基肥，佔年施肥量的</t>
    </r>
    <r>
      <rPr>
        <sz val="10"/>
        <color theme="1"/>
        <rFont val="Times New Roman"/>
        <family val="1"/>
      </rPr>
      <t>40%</t>
    </r>
    <r>
      <rPr>
        <sz val="10"/>
        <color theme="1"/>
        <rFont val="細明體"/>
        <family val="3"/>
        <charset val="136"/>
      </rPr>
      <t>，可使用腐熟粗質有機肥</t>
    </r>
    <r>
      <rPr>
        <sz val="10"/>
        <color theme="1"/>
        <rFont val="Times New Roman"/>
        <family val="1"/>
      </rPr>
      <t>20-30 ton/ha+</t>
    </r>
    <r>
      <rPr>
        <sz val="10"/>
        <color theme="1"/>
        <rFont val="細明體"/>
        <family val="3"/>
        <charset val="136"/>
      </rPr>
      <t>油粕肥</t>
    </r>
    <r>
      <rPr>
        <sz val="10"/>
        <color theme="1"/>
        <rFont val="Times New Roman"/>
        <family val="1"/>
      </rPr>
      <t>+</t>
    </r>
    <r>
      <rPr>
        <sz val="10"/>
        <color theme="1"/>
        <rFont val="細明體"/>
        <family val="3"/>
        <charset val="136"/>
      </rPr>
      <t>有機可用鉀肥。</t>
    </r>
    <r>
      <rPr>
        <sz val="10"/>
        <color theme="1"/>
        <rFont val="Times New Roman"/>
        <family val="1"/>
      </rPr>
      <t>1-2</t>
    </r>
    <r>
      <rPr>
        <sz val="10"/>
        <color theme="1"/>
        <rFont val="細明體"/>
        <family val="3"/>
        <charset val="136"/>
      </rPr>
      <t>年生茶苗距根頸</t>
    </r>
    <r>
      <rPr>
        <sz val="10"/>
        <color theme="1"/>
        <rFont val="Times New Roman"/>
        <family val="1"/>
      </rPr>
      <t>10-20 cm</t>
    </r>
    <r>
      <rPr>
        <sz val="10"/>
        <color theme="1"/>
        <rFont val="細明體"/>
        <family val="3"/>
        <charset val="136"/>
      </rPr>
      <t>處開</t>
    </r>
    <r>
      <rPr>
        <sz val="10"/>
        <color theme="1"/>
        <rFont val="Times New Roman"/>
        <family val="1"/>
      </rPr>
      <t>20 cm</t>
    </r>
    <r>
      <rPr>
        <sz val="10"/>
        <color theme="1"/>
        <rFont val="細明體"/>
        <family val="3"/>
        <charset val="136"/>
      </rPr>
      <t>深；</t>
    </r>
    <r>
      <rPr>
        <sz val="10"/>
        <color theme="1"/>
        <rFont val="Times New Roman"/>
        <family val="1"/>
      </rPr>
      <t>3-4</t>
    </r>
    <r>
      <rPr>
        <sz val="10"/>
        <color theme="1"/>
        <rFont val="細明體"/>
        <family val="3"/>
        <charset val="136"/>
      </rPr>
      <t>年生茶樹距根頸</t>
    </r>
    <r>
      <rPr>
        <sz val="10"/>
        <color theme="1"/>
        <rFont val="Times New Roman"/>
        <family val="1"/>
      </rPr>
      <t>35-40 cm</t>
    </r>
    <r>
      <rPr>
        <sz val="10"/>
        <color theme="1"/>
        <rFont val="細明體"/>
        <family val="3"/>
        <charset val="136"/>
      </rPr>
      <t>處開</t>
    </r>
    <r>
      <rPr>
        <sz val="10"/>
        <color theme="1"/>
        <rFont val="Times New Roman"/>
        <family val="1"/>
      </rPr>
      <t>20-25 cm</t>
    </r>
    <r>
      <rPr>
        <sz val="10"/>
        <color theme="1"/>
        <rFont val="細明體"/>
        <family val="3"/>
        <charset val="136"/>
      </rPr>
      <t>深；</t>
    </r>
    <r>
      <rPr>
        <sz val="10"/>
        <color theme="1"/>
        <rFont val="Times New Roman"/>
        <family val="1"/>
      </rPr>
      <t>5</t>
    </r>
    <r>
      <rPr>
        <sz val="10"/>
        <color theme="1"/>
        <rFont val="細明體"/>
        <family val="3"/>
        <charset val="136"/>
      </rPr>
      <t>年生以上在樹冠邊緣處開</t>
    </r>
    <r>
      <rPr>
        <sz val="10"/>
        <color theme="1"/>
        <rFont val="Times New Roman"/>
        <family val="1"/>
      </rPr>
      <t>25-30 cm</t>
    </r>
    <r>
      <rPr>
        <sz val="10"/>
        <color theme="1"/>
        <rFont val="細明體"/>
        <family val="3"/>
        <charset val="136"/>
      </rPr>
      <t>深。依樹大小可點、環或條施。平地在樹之</t>
    </r>
    <r>
      <rPr>
        <sz val="10"/>
        <color theme="1"/>
        <rFont val="Times New Roman"/>
        <family val="1"/>
      </rPr>
      <t>2</t>
    </r>
    <r>
      <rPr>
        <sz val="10"/>
        <color theme="1"/>
        <rFont val="細明體"/>
        <family val="3"/>
        <charset val="136"/>
      </rPr>
      <t>側輪替；坡地在坡的上方；梯地在裡側。
在地形上若是容許翻犁的茶園，可每</t>
    </r>
    <r>
      <rPr>
        <sz val="10"/>
        <color theme="1"/>
        <rFont val="Times New Roman"/>
        <family val="1"/>
      </rPr>
      <t>3</t>
    </r>
    <r>
      <rPr>
        <sz val="10"/>
        <color theme="1"/>
        <rFont val="細明體"/>
        <family val="3"/>
        <charset val="136"/>
      </rPr>
      <t>年於冬季施用</t>
    </r>
    <r>
      <rPr>
        <sz val="10"/>
        <color theme="1"/>
        <rFont val="Times New Roman"/>
        <family val="1"/>
      </rPr>
      <t>8 ton/ha</t>
    </r>
    <r>
      <rPr>
        <sz val="10"/>
        <color theme="1"/>
        <rFont val="細明體"/>
        <family val="3"/>
        <charset val="136"/>
      </rPr>
      <t>低氮</t>
    </r>
    <r>
      <rPr>
        <sz val="10"/>
        <color theme="1"/>
        <rFont val="Times New Roman"/>
        <family val="1"/>
      </rPr>
      <t>(</t>
    </r>
    <r>
      <rPr>
        <sz val="10"/>
        <color theme="1"/>
        <rFont val="細明體"/>
        <family val="3"/>
        <charset val="136"/>
      </rPr>
      <t>約</t>
    </r>
    <r>
      <rPr>
        <sz val="10"/>
        <color theme="1"/>
        <rFont val="Times New Roman"/>
        <family val="1"/>
      </rPr>
      <t>1.5%)</t>
    </r>
    <r>
      <rPr>
        <sz val="10"/>
        <color theme="1"/>
        <rFont val="細明體"/>
        <family val="3"/>
        <charset val="136"/>
      </rPr>
      <t>的腐熟有機質肥料到</t>
    </r>
    <r>
      <rPr>
        <sz val="10"/>
        <color theme="1"/>
        <rFont val="Times New Roman"/>
        <family val="1"/>
      </rPr>
      <t>20-30 cm</t>
    </r>
    <r>
      <rPr>
        <sz val="10"/>
        <color theme="1"/>
        <rFont val="細明體"/>
        <family val="3"/>
        <charset val="136"/>
      </rPr>
      <t>深的土壤中；無法翻犁的茶園，可由選擇草相留養，或栽種多年生蔓花生、綠肥大豆等來控制雜草生長，改善底土的根群生長環境，使鬚根群可利用到原無法利用的底土養、水分。</t>
    </r>
    <phoneticPr fontId="1" type="noConversion"/>
  </si>
  <si>
    <r>
      <rPr>
        <sz val="10"/>
        <color theme="1"/>
        <rFont val="細明體"/>
        <family val="3"/>
        <charset val="136"/>
      </rPr>
      <t>植物渣粕肥料</t>
    </r>
    <r>
      <rPr>
        <sz val="10"/>
        <color theme="1"/>
        <rFont val="Times New Roman"/>
        <family val="1"/>
      </rPr>
      <t>(5-01)</t>
    </r>
    <r>
      <rPr>
        <sz val="10"/>
        <color theme="1"/>
        <rFont val="細明體"/>
        <family val="3"/>
        <charset val="136"/>
      </rPr>
      <t>和混合有機質肥料</t>
    </r>
    <r>
      <rPr>
        <sz val="10"/>
        <color theme="1"/>
        <rFont val="Times New Roman"/>
        <family val="1"/>
      </rPr>
      <t>(5-12)</t>
    </r>
    <r>
      <rPr>
        <sz val="10"/>
        <color theme="1"/>
        <rFont val="細明體"/>
        <family val="3"/>
        <charset val="136"/>
      </rPr>
      <t>多為碳氮比低，氮成分高的肥料，分解迅速，對土壤有機質的挹注極有限。
雜項複合肥料</t>
    </r>
    <r>
      <rPr>
        <sz val="10"/>
        <color theme="1"/>
        <rFont val="Times New Roman"/>
        <family val="1"/>
      </rPr>
      <t>(6-05)</t>
    </r>
    <r>
      <rPr>
        <sz val="10"/>
        <color theme="1"/>
        <rFont val="細明體"/>
        <family val="3"/>
        <charset val="136"/>
      </rPr>
      <t>常以有機質複合肥料名義販賣，登記之有機質成分實為化肥，對土壤有機質之增加，完全沒有作用。</t>
    </r>
    <phoneticPr fontId="1" type="noConversion"/>
  </si>
  <si>
    <t>Located at entrance or two ends of the plantaton ?</t>
    <phoneticPr fontId="1" type="noConversion"/>
  </si>
  <si>
    <r>
      <rPr>
        <sz val="10"/>
        <color theme="1"/>
        <rFont val="新細明體"/>
        <family val="2"/>
        <charset val="136"/>
      </rPr>
      <t>緊實處主要位於茶園入口處或田頭？</t>
    </r>
    <phoneticPr fontId="1" type="noConversion"/>
  </si>
  <si>
    <r>
      <rPr>
        <sz val="10"/>
        <color theme="1"/>
        <rFont val="新細明體"/>
        <family val="2"/>
        <charset val="136"/>
      </rPr>
      <t>土壤可能被整地的重機械壓實。</t>
    </r>
    <phoneticPr fontId="1" type="noConversion"/>
  </si>
  <si>
    <r>
      <rPr>
        <sz val="10"/>
        <color theme="1"/>
        <rFont val="細明體"/>
        <family val="3"/>
        <charset val="136"/>
      </rPr>
      <t>整地的機械並未導致土壤被嚴重壓實。</t>
    </r>
    <phoneticPr fontId="1" type="noConversion"/>
  </si>
  <si>
    <r>
      <rPr>
        <sz val="10"/>
        <color theme="1"/>
        <rFont val="細明體"/>
        <family val="3"/>
        <charset val="136"/>
      </rPr>
      <t>使用重機械整地，茶園入口處或田頭易因重機械迴轉而被壓實。</t>
    </r>
    <phoneticPr fontId="1" type="noConversion"/>
  </si>
  <si>
    <r>
      <rPr>
        <sz val="10"/>
        <color theme="1"/>
        <rFont val="細明體"/>
        <family val="3"/>
        <charset val="136"/>
      </rPr>
      <t>若入口處或田頭土壤被壓實，植株通常會較矮且生長不良。</t>
    </r>
    <phoneticPr fontId="1" type="noConversion"/>
  </si>
  <si>
    <t>May have Soil Compaction problems</t>
    <phoneticPr fontId="1" type="noConversion"/>
  </si>
  <si>
    <t>#2501</t>
    <phoneticPr fontId="1" type="noConversion"/>
  </si>
  <si>
    <r>
      <rPr>
        <sz val="10"/>
        <color rgb="FFFF0000"/>
        <rFont val="新細明體"/>
        <family val="1"/>
        <charset val="136"/>
      </rPr>
      <t>有土壤緊實問題</t>
    </r>
    <phoneticPr fontId="1" type="noConversion"/>
  </si>
  <si>
    <t>Main Branch 2, Secondary Branch 5: Poor Soil Aeration Diagnosis</t>
    <phoneticPr fontId="1" type="noConversion"/>
  </si>
  <si>
    <r>
      <rPr>
        <sz val="10"/>
        <color rgb="FFFF0000"/>
        <rFont val="細明體"/>
        <family val="3"/>
        <charset val="136"/>
      </rPr>
      <t>是否有土壤通氣不良問題</t>
    </r>
    <phoneticPr fontId="1" type="noConversion"/>
  </si>
  <si>
    <t>#2502</t>
    <phoneticPr fontId="1" type="noConversion"/>
  </si>
  <si>
    <r>
      <t>Soils-1104</t>
    </r>
    <r>
      <rPr>
        <sz val="10"/>
        <color theme="1"/>
        <rFont val="細明體"/>
        <family val="3"/>
        <charset val="136"/>
      </rPr>
      <t/>
    </r>
    <phoneticPr fontId="1" type="noConversion"/>
  </si>
  <si>
    <r>
      <rPr>
        <sz val="10"/>
        <color theme="1"/>
        <rFont val="新細明體"/>
        <family val="2"/>
        <charset val="136"/>
      </rPr>
      <t>地表排水不良，大雨或灌溉後積水會阻斷土壤空氣與大氣的交換，導致發生根系缺氧的狀況。</t>
    </r>
    <phoneticPr fontId="1" type="noConversion"/>
  </si>
  <si>
    <r>
      <rPr>
        <sz val="10"/>
        <color theme="1"/>
        <rFont val="細明體"/>
        <family val="3"/>
        <charset val="136"/>
      </rPr>
      <t>地表排水順暢。</t>
    </r>
    <phoneticPr fontId="1" type="noConversion"/>
  </si>
  <si>
    <r>
      <rPr>
        <sz val="10"/>
        <color theme="1"/>
        <rFont val="細明體"/>
        <family val="3"/>
        <charset val="136"/>
      </rPr>
      <t>地表排水不良通常土面會伴隨有藻斑存在，留意茶園的地表排水規畫。
可請教茶農在颱風期間或夏季午後雷陣雨的經驗。</t>
    </r>
    <phoneticPr fontId="1" type="noConversion"/>
  </si>
  <si>
    <r>
      <rPr>
        <sz val="10"/>
        <color theme="1"/>
        <rFont val="細明體"/>
        <family val="3"/>
        <charset val="136"/>
      </rPr>
      <t>地表若留有青苔</t>
    </r>
    <r>
      <rPr>
        <sz val="10"/>
        <color theme="1"/>
        <rFont val="Times New Roman"/>
        <family val="1"/>
      </rPr>
      <t>/</t>
    </r>
    <r>
      <rPr>
        <sz val="10"/>
        <color theme="1"/>
        <rFont val="細明體"/>
        <family val="3"/>
        <charset val="136"/>
      </rPr>
      <t>藻斑痕跡，代表該處容易積水；但沒有青苔</t>
    </r>
    <r>
      <rPr>
        <sz val="10"/>
        <color theme="1"/>
        <rFont val="Times New Roman"/>
        <family val="1"/>
      </rPr>
      <t>/</t>
    </r>
    <r>
      <rPr>
        <sz val="10"/>
        <color theme="1"/>
        <rFont val="細明體"/>
        <family val="3"/>
        <charset val="136"/>
      </rPr>
      <t>藻斑痕跡，並不代表地表不會積水。</t>
    </r>
    <phoneticPr fontId="1" type="noConversion"/>
  </si>
  <si>
    <r>
      <rPr>
        <sz val="10"/>
        <color theme="1"/>
        <rFont val="細明體"/>
        <family val="3"/>
        <charset val="136"/>
      </rPr>
      <t>改善地表排水規劃。</t>
    </r>
    <phoneticPr fontId="1" type="noConversion"/>
  </si>
  <si>
    <r>
      <rPr>
        <sz val="10"/>
        <color theme="1"/>
        <rFont val="細明體"/>
        <family val="3"/>
        <charset val="136"/>
      </rPr>
      <t>依據</t>
    </r>
    <r>
      <rPr>
        <sz val="10"/>
        <color theme="1"/>
        <rFont val="Times New Roman"/>
        <family val="1"/>
      </rPr>
      <t>Soils #1104</t>
    </r>
    <r>
      <rPr>
        <sz val="10"/>
        <color theme="1"/>
        <rFont val="細明體"/>
        <family val="3"/>
        <charset val="136"/>
      </rPr>
      <t>的回答。若</t>
    </r>
    <r>
      <rPr>
        <sz val="10"/>
        <color theme="1"/>
        <rFont val="Times New Roman"/>
        <family val="1"/>
      </rPr>
      <t>#1104</t>
    </r>
    <r>
      <rPr>
        <sz val="10"/>
        <color theme="1"/>
        <rFont val="細明體"/>
        <family val="3"/>
        <charset val="136"/>
      </rPr>
      <t>未曾問過</t>
    </r>
    <r>
      <rPr>
        <sz val="10"/>
        <color theme="1"/>
        <rFont val="Times New Roman"/>
        <family val="1"/>
      </rPr>
      <t>(</t>
    </r>
    <r>
      <rPr>
        <sz val="10"/>
        <color theme="1"/>
        <rFont val="細明體"/>
        <family val="3"/>
        <charset val="136"/>
      </rPr>
      <t>從</t>
    </r>
    <r>
      <rPr>
        <sz val="10"/>
        <color theme="1"/>
        <rFont val="Times New Roman"/>
        <family val="1"/>
      </rPr>
      <t>#1</t>
    </r>
    <r>
      <rPr>
        <sz val="10"/>
        <color theme="1"/>
        <rFont val="細明體"/>
        <family val="3"/>
        <charset val="136"/>
      </rPr>
      <t>直接跳到</t>
    </r>
    <r>
      <rPr>
        <sz val="10"/>
        <color theme="1"/>
        <rFont val="Times New Roman"/>
        <family val="1"/>
      </rPr>
      <t>#2)</t>
    </r>
    <r>
      <rPr>
        <sz val="10"/>
        <color theme="1"/>
        <rFont val="細明體"/>
        <family val="3"/>
        <charset val="136"/>
      </rPr>
      <t>，還是要問。</t>
    </r>
    <phoneticPr fontId="1" type="noConversion"/>
  </si>
  <si>
    <r>
      <t xml:space="preserve">Very thick mulch (&gt;5cm) of peanut shells, rice husks, bagasse ? </t>
    </r>
    <r>
      <rPr>
        <sz val="10"/>
        <color theme="1"/>
        <rFont val="新細明體"/>
        <family val="1"/>
        <charset val="136"/>
      </rPr>
      <t/>
    </r>
    <phoneticPr fontId="1" type="noConversion"/>
  </si>
  <si>
    <t>#2503</t>
    <phoneticPr fontId="1" type="noConversion"/>
  </si>
  <si>
    <r>
      <rPr>
        <sz val="10"/>
        <color theme="1"/>
        <rFont val="細明體"/>
        <family val="3"/>
        <charset val="136"/>
      </rPr>
      <t>花生殼、稻殼、蔗渣敷蓋太厚</t>
    </r>
    <r>
      <rPr>
        <sz val="10"/>
        <color theme="1"/>
        <rFont val="Times New Roman"/>
        <family val="1"/>
      </rPr>
      <t xml:space="preserve"> (&gt;5cm)</t>
    </r>
    <r>
      <rPr>
        <sz val="10"/>
        <color theme="1"/>
        <rFont val="細明體"/>
        <family val="3"/>
        <charset val="136"/>
      </rPr>
      <t>？</t>
    </r>
    <phoneticPr fontId="1" type="noConversion"/>
  </si>
  <si>
    <r>
      <rPr>
        <sz val="10"/>
        <color theme="1"/>
        <rFont val="新細明體"/>
        <family val="2"/>
        <charset val="136"/>
      </rPr>
      <t>有機物敷蓋太厚，易導致淺根、通氣不良及積水。</t>
    </r>
    <phoneticPr fontId="1" type="noConversion"/>
  </si>
  <si>
    <r>
      <rPr>
        <sz val="10"/>
        <color theme="1"/>
        <rFont val="細明體"/>
        <family val="3"/>
        <charset val="136"/>
      </rPr>
      <t>請參考案例相片。連續</t>
    </r>
    <r>
      <rPr>
        <sz val="10"/>
        <color theme="1"/>
        <rFont val="Times New Roman"/>
        <family val="1"/>
      </rPr>
      <t>3</t>
    </r>
    <r>
      <rPr>
        <sz val="10"/>
        <color theme="1"/>
        <rFont val="細明體"/>
        <family val="3"/>
        <charset val="136"/>
      </rPr>
      <t>張</t>
    </r>
    <r>
      <rPr>
        <sz val="10"/>
        <color theme="1"/>
        <rFont val="Times New Roman"/>
        <family val="1"/>
      </rPr>
      <t>(</t>
    </r>
    <r>
      <rPr>
        <sz val="10"/>
        <color theme="1"/>
        <rFont val="細明體"/>
        <family val="3"/>
        <charset val="136"/>
      </rPr>
      <t>遠觀、近照、有機覆蓋物層</t>
    </r>
    <r>
      <rPr>
        <sz val="10"/>
        <color theme="1"/>
        <rFont val="Times New Roman"/>
        <family val="1"/>
      </rPr>
      <t>)</t>
    </r>
    <r>
      <rPr>
        <sz val="10"/>
        <color theme="1"/>
        <rFont val="細明體"/>
        <family val="3"/>
        <charset val="136"/>
      </rPr>
      <t>。</t>
    </r>
    <phoneticPr fontId="1" type="noConversion"/>
  </si>
  <si>
    <r>
      <rPr>
        <sz val="10"/>
        <color theme="1"/>
        <rFont val="細明體"/>
        <family val="3"/>
        <charset val="136"/>
      </rPr>
      <t>減少有機物敷蓋層的厚度。</t>
    </r>
    <phoneticPr fontId="1" type="noConversion"/>
  </si>
  <si>
    <r>
      <t xml:space="preserve">Soils #2507 </t>
    </r>
    <r>
      <rPr>
        <sz val="11"/>
        <color theme="1"/>
        <rFont val="細明體"/>
        <family val="3"/>
        <charset val="136"/>
      </rPr>
      <t>會引用</t>
    </r>
    <phoneticPr fontId="1" type="noConversion"/>
  </si>
  <si>
    <t>Tea trees located in furrows ?</t>
    <phoneticPr fontId="1" type="noConversion"/>
  </si>
  <si>
    <t>#2505</t>
    <phoneticPr fontId="1" type="noConversion"/>
  </si>
  <si>
    <t>#2504</t>
    <phoneticPr fontId="1" type="noConversion"/>
  </si>
  <si>
    <r>
      <rPr>
        <sz val="10"/>
        <color theme="1"/>
        <rFont val="細明體"/>
        <family val="3"/>
        <charset val="136"/>
      </rPr>
      <t>茶樹位於畦溝中？</t>
    </r>
    <phoneticPr fontId="1" type="noConversion"/>
  </si>
  <si>
    <r>
      <rPr>
        <sz val="10"/>
        <color theme="1"/>
        <rFont val="新細明體"/>
        <family val="2"/>
        <charset val="136"/>
      </rPr>
      <t>易造成根系通氣不良。</t>
    </r>
    <phoneticPr fontId="1" type="noConversion"/>
  </si>
  <si>
    <r>
      <rPr>
        <sz val="10"/>
        <color theme="1"/>
        <rFont val="細明體"/>
        <family val="3"/>
        <charset val="136"/>
      </rPr>
      <t>畦間被填土墊高，茶樹反而位於畦溝中。</t>
    </r>
    <phoneticPr fontId="1" type="noConversion"/>
  </si>
  <si>
    <r>
      <rPr>
        <sz val="10"/>
        <color theme="1"/>
        <rFont val="細明體"/>
        <family val="3"/>
        <charset val="136"/>
      </rPr>
      <t>將畦間的土撥至茶樹下，重新做出畦溝。</t>
    </r>
    <phoneticPr fontId="1" type="noConversion"/>
  </si>
  <si>
    <t>no apparent ridges and furrows ?</t>
    <phoneticPr fontId="1" type="noConversion"/>
  </si>
  <si>
    <t>#2506</t>
    <phoneticPr fontId="1" type="noConversion"/>
  </si>
  <si>
    <r>
      <rPr>
        <sz val="10"/>
        <color theme="1"/>
        <rFont val="新細明體"/>
        <family val="2"/>
        <charset val="136"/>
      </rPr>
      <t>沒有明顯的畦頂與畦溝差異？</t>
    </r>
    <phoneticPr fontId="1" type="noConversion"/>
  </si>
  <si>
    <r>
      <rPr>
        <sz val="10"/>
        <color theme="1"/>
        <rFont val="新細明體"/>
        <family val="2"/>
        <charset val="136"/>
      </rPr>
      <t>水分會從種植茶樹前所開的溝處下滲，導致通氣不良。</t>
    </r>
    <phoneticPr fontId="1" type="noConversion"/>
  </si>
  <si>
    <r>
      <rPr>
        <sz val="10"/>
        <color theme="1"/>
        <rFont val="細明體"/>
        <family val="3"/>
        <charset val="136"/>
      </rPr>
      <t>將畦間的土撥至茶樹下，做出畦溝。</t>
    </r>
    <phoneticPr fontId="1" type="noConversion"/>
  </si>
  <si>
    <t>Brown colored clayey soil ?</t>
    <phoneticPr fontId="1" type="noConversion"/>
  </si>
  <si>
    <t>#2507</t>
    <phoneticPr fontId="1" type="noConversion"/>
  </si>
  <si>
    <r>
      <rPr>
        <sz val="10"/>
        <color theme="1"/>
        <rFont val="新細明體"/>
        <family val="2"/>
        <charset val="136"/>
      </rPr>
      <t>土壤屬於棕色黏質土？</t>
    </r>
    <phoneticPr fontId="1" type="noConversion"/>
  </si>
  <si>
    <r>
      <rPr>
        <sz val="10"/>
        <color theme="1"/>
        <rFont val="新細明體"/>
        <family val="2"/>
        <charset val="136"/>
      </rPr>
      <t>茶園土壤內部排水比屬於紅壤或黃壤的茶園差。</t>
    </r>
    <phoneticPr fontId="1" type="noConversion"/>
  </si>
  <si>
    <r>
      <rPr>
        <sz val="10"/>
        <color theme="1"/>
        <rFont val="細明體"/>
        <family val="3"/>
        <charset val="136"/>
      </rPr>
      <t>內部排水好才會形成紅壤</t>
    </r>
    <r>
      <rPr>
        <sz val="10"/>
        <color theme="1"/>
        <rFont val="Times New Roman"/>
        <family val="1"/>
      </rPr>
      <t>(</t>
    </r>
    <r>
      <rPr>
        <sz val="10"/>
        <color theme="1"/>
        <rFont val="細明體"/>
        <family val="3"/>
        <charset val="136"/>
      </rPr>
      <t>低地</t>
    </r>
    <r>
      <rPr>
        <sz val="10"/>
        <color theme="1"/>
        <rFont val="Times New Roman"/>
        <family val="1"/>
      </rPr>
      <t>)</t>
    </r>
    <r>
      <rPr>
        <sz val="10"/>
        <color theme="1"/>
        <rFont val="細明體"/>
        <family val="3"/>
        <charset val="136"/>
      </rPr>
      <t>或黃壤</t>
    </r>
    <r>
      <rPr>
        <sz val="10"/>
        <color theme="1"/>
        <rFont val="Times New Roman"/>
        <family val="1"/>
      </rPr>
      <t>(</t>
    </r>
    <r>
      <rPr>
        <sz val="10"/>
        <color theme="1"/>
        <rFont val="細明體"/>
        <family val="3"/>
        <charset val="136"/>
      </rPr>
      <t>山地</t>
    </r>
    <r>
      <rPr>
        <sz val="10"/>
        <color theme="1"/>
        <rFont val="Times New Roman"/>
        <family val="1"/>
      </rPr>
      <t>)</t>
    </r>
    <r>
      <rPr>
        <sz val="10"/>
        <color theme="1"/>
        <rFont val="細明體"/>
        <family val="3"/>
        <charset val="136"/>
      </rPr>
      <t>。</t>
    </r>
    <phoneticPr fontId="1" type="noConversion"/>
  </si>
  <si>
    <t>Answer-11</t>
    <phoneticPr fontId="1" type="noConversion"/>
  </si>
  <si>
    <r>
      <rPr>
        <sz val="10"/>
        <color theme="1"/>
        <rFont val="新細明體"/>
        <family val="2"/>
        <charset val="136"/>
      </rPr>
      <t>容易因暫棲地下水位導致根系缺氧。</t>
    </r>
    <phoneticPr fontId="1" type="noConversion"/>
  </si>
  <si>
    <r>
      <rPr>
        <sz val="10"/>
        <color theme="1"/>
        <rFont val="細明體"/>
        <family val="3"/>
        <charset val="136"/>
      </rPr>
      <t>明顯的質地層理會影響土壤水分的下滲。</t>
    </r>
    <phoneticPr fontId="1" type="noConversion"/>
  </si>
  <si>
    <t>#2500</t>
    <phoneticPr fontId="1" type="noConversion"/>
  </si>
  <si>
    <t>Answer-3</t>
    <phoneticPr fontId="1" type="noConversion"/>
  </si>
  <si>
    <r>
      <rPr>
        <sz val="10"/>
        <color theme="1"/>
        <rFont val="新細明體"/>
        <family val="2"/>
        <charset val="136"/>
      </rPr>
      <t>根系範圍內曾經發生過因土壤水飽和導致缺氧的狀況。</t>
    </r>
    <phoneticPr fontId="1" type="noConversion"/>
  </si>
  <si>
    <r>
      <t>40cm</t>
    </r>
    <r>
      <rPr>
        <sz val="10"/>
        <color theme="1"/>
        <rFont val="新細明體"/>
        <family val="2"/>
        <charset val="136"/>
      </rPr>
      <t>內未出現鏽斑。</t>
    </r>
    <phoneticPr fontId="1" type="noConversion"/>
  </si>
  <si>
    <r>
      <rPr>
        <sz val="10"/>
        <color theme="1"/>
        <rFont val="細明體"/>
        <family val="3"/>
        <charset val="136"/>
      </rPr>
      <t>使用土鑽採土判斷。</t>
    </r>
    <phoneticPr fontId="1" type="noConversion"/>
  </si>
  <si>
    <r>
      <rPr>
        <sz val="10"/>
        <color theme="1"/>
        <rFont val="細明體"/>
        <family val="3"/>
        <charset val="136"/>
      </rPr>
      <t>查看是否有紅棕色斑點或斑紋</t>
    </r>
    <r>
      <rPr>
        <sz val="10"/>
        <color theme="1"/>
        <rFont val="Times New Roman"/>
        <family val="1"/>
      </rPr>
      <t>(</t>
    </r>
    <r>
      <rPr>
        <sz val="10"/>
        <color theme="1"/>
        <rFont val="細明體"/>
        <family val="3"/>
        <charset val="136"/>
      </rPr>
      <t>有時須撥開新鮮土塊才能看到</t>
    </r>
    <r>
      <rPr>
        <sz val="10"/>
        <color theme="1"/>
        <rFont val="Times New Roman"/>
        <family val="1"/>
      </rPr>
      <t>)</t>
    </r>
    <r>
      <rPr>
        <sz val="10"/>
        <color theme="1"/>
        <rFont val="細明體"/>
        <family val="3"/>
        <charset val="136"/>
      </rPr>
      <t>。</t>
    </r>
    <phoneticPr fontId="1" type="noConversion"/>
  </si>
  <si>
    <r>
      <rPr>
        <sz val="10"/>
        <color theme="1"/>
        <rFont val="細明體"/>
        <family val="3"/>
        <charset val="136"/>
      </rPr>
      <t>依據</t>
    </r>
    <r>
      <rPr>
        <sz val="10"/>
        <color theme="1"/>
        <rFont val="Times New Roman"/>
        <family val="1"/>
      </rPr>
      <t>Soils #1103</t>
    </r>
    <r>
      <rPr>
        <sz val="10"/>
        <color theme="1"/>
        <rFont val="細明體"/>
        <family val="3"/>
        <charset val="136"/>
      </rPr>
      <t>的回答。若</t>
    </r>
    <r>
      <rPr>
        <sz val="10"/>
        <color theme="1"/>
        <rFont val="Times New Roman"/>
        <family val="1"/>
      </rPr>
      <t>#1103</t>
    </r>
    <r>
      <rPr>
        <sz val="10"/>
        <color theme="1"/>
        <rFont val="細明體"/>
        <family val="3"/>
        <charset val="136"/>
      </rPr>
      <t>未曾問過</t>
    </r>
    <r>
      <rPr>
        <sz val="10"/>
        <color theme="1"/>
        <rFont val="Times New Roman"/>
        <family val="1"/>
      </rPr>
      <t>(</t>
    </r>
    <r>
      <rPr>
        <sz val="10"/>
        <color theme="1"/>
        <rFont val="細明體"/>
        <family val="3"/>
        <charset val="136"/>
      </rPr>
      <t>從</t>
    </r>
    <r>
      <rPr>
        <sz val="10"/>
        <color theme="1"/>
        <rFont val="Times New Roman"/>
        <family val="1"/>
      </rPr>
      <t>#1</t>
    </r>
    <r>
      <rPr>
        <sz val="10"/>
        <color theme="1"/>
        <rFont val="細明體"/>
        <family val="3"/>
        <charset val="136"/>
      </rPr>
      <t>直接跳到</t>
    </r>
    <r>
      <rPr>
        <sz val="10"/>
        <color theme="1"/>
        <rFont val="Times New Roman"/>
        <family val="1"/>
      </rPr>
      <t>#2)</t>
    </r>
    <r>
      <rPr>
        <sz val="10"/>
        <color theme="1"/>
        <rFont val="細明體"/>
        <family val="3"/>
        <charset val="136"/>
      </rPr>
      <t>，還是要問。</t>
    </r>
    <phoneticPr fontId="1" type="noConversion"/>
  </si>
  <si>
    <t>May have poor soil aeration problems</t>
    <phoneticPr fontId="1" type="noConversion"/>
  </si>
  <si>
    <t>#2701</t>
    <phoneticPr fontId="1" type="noConversion"/>
  </si>
  <si>
    <r>
      <rPr>
        <sz val="10"/>
        <color rgb="FFFF0000"/>
        <rFont val="新細明體"/>
        <family val="1"/>
        <charset val="136"/>
      </rPr>
      <t>有土壤通氣不良問題</t>
    </r>
    <phoneticPr fontId="1" type="noConversion"/>
  </si>
  <si>
    <t>Main Branch 2, Secondary Branch 7: Floating Root Symptom Diagnosis</t>
    <phoneticPr fontId="1" type="noConversion"/>
  </si>
  <si>
    <r>
      <rPr>
        <sz val="10"/>
        <color rgb="FFFF0000"/>
        <rFont val="細明體"/>
        <family val="3"/>
        <charset val="136"/>
      </rPr>
      <t>是否有浮根問題</t>
    </r>
    <phoneticPr fontId="1" type="noConversion"/>
  </si>
  <si>
    <t xml:space="preserve">Very few leaves at middle and lower parts of the stem ? </t>
    <phoneticPr fontId="1" type="noConversion"/>
  </si>
  <si>
    <t>#2702</t>
    <phoneticPr fontId="1" type="noConversion"/>
  </si>
  <si>
    <r>
      <rPr>
        <sz val="10"/>
        <color theme="1"/>
        <rFont val="新細明體"/>
        <family val="1"/>
        <charset val="136"/>
      </rPr>
      <t>莖的中下部沒有葉片？</t>
    </r>
    <phoneticPr fontId="1" type="noConversion"/>
  </si>
  <si>
    <r>
      <rPr>
        <sz val="10"/>
        <color theme="1"/>
        <rFont val="細明體"/>
        <family val="3"/>
        <charset val="136"/>
      </rPr>
      <t>主根不夠健壯，必須仰賴支根和鬚根吸收水分和養分。</t>
    </r>
    <phoneticPr fontId="1" type="noConversion"/>
  </si>
  <si>
    <r>
      <rPr>
        <sz val="10"/>
        <color theme="1"/>
        <rFont val="新細明體"/>
        <family val="2"/>
        <charset val="136"/>
      </rPr>
      <t>台灣茶樹採用扦插苗，扦插苗缺乏主根，且根系向下生長的能力弱。生育初期若未訓練根系向下伸展，導致支根和鬚根集中於土表，容易發生缺水或缺氧傷害。</t>
    </r>
    <phoneticPr fontId="1" type="noConversion"/>
  </si>
  <si>
    <r>
      <t xml:space="preserve"> </t>
    </r>
    <r>
      <rPr>
        <sz val="10"/>
        <color theme="1"/>
        <rFont val="細明體"/>
        <family val="3"/>
        <charset val="136"/>
      </rPr>
      <t>成木茶園每年冬季隔行中深耕，除改善土壤理化性外，可適度切斷淺根，誘使根系深入土層。</t>
    </r>
    <phoneticPr fontId="1" type="noConversion"/>
  </si>
  <si>
    <r>
      <rPr>
        <sz val="10"/>
        <color theme="1"/>
        <rFont val="細明體"/>
        <family val="3"/>
        <charset val="136"/>
      </rPr>
      <t>中耕可破壞毛細管結構，使水分保留在土壤時間延長，也可切斷部分吸收根，使吸收根更新。</t>
    </r>
    <phoneticPr fontId="1" type="noConversion"/>
  </si>
  <si>
    <t>Leaves are small and concentrated at top layer of the canopy ?</t>
    <phoneticPr fontId="1" type="noConversion"/>
  </si>
  <si>
    <t>#2703</t>
    <phoneticPr fontId="1" type="noConversion"/>
  </si>
  <si>
    <r>
      <rPr>
        <sz val="10"/>
        <color theme="1"/>
        <rFont val="新細明體"/>
        <family val="2"/>
        <charset val="136"/>
      </rPr>
      <t>葉片偏小，且集中於植冠表面</t>
    </r>
    <r>
      <rPr>
        <sz val="10"/>
        <color theme="1"/>
        <rFont val="Times New Roman"/>
        <family val="1"/>
      </rPr>
      <t xml:space="preserve">(10-15cm) </t>
    </r>
    <r>
      <rPr>
        <sz val="10"/>
        <color theme="1"/>
        <rFont val="新細明體"/>
        <family val="2"/>
        <charset val="136"/>
      </rPr>
      <t>？</t>
    </r>
    <phoneticPr fontId="1" type="noConversion"/>
  </si>
  <si>
    <r>
      <rPr>
        <sz val="10"/>
        <color theme="1"/>
        <rFont val="新細明體"/>
        <family val="2"/>
        <charset val="136"/>
      </rPr>
      <t>吸收的養分不足以支持葉片面積擴伸。</t>
    </r>
    <phoneticPr fontId="1" type="noConversion"/>
  </si>
  <si>
    <r>
      <rPr>
        <sz val="10"/>
        <color theme="1"/>
        <rFont val="細明體"/>
        <family val="3"/>
        <charset val="136"/>
      </rPr>
      <t>小葉種第一片成熟葉長</t>
    </r>
    <r>
      <rPr>
        <sz val="10"/>
        <color theme="1"/>
        <rFont val="Times New Roman"/>
        <family val="1"/>
      </rPr>
      <t>x</t>
    </r>
    <r>
      <rPr>
        <sz val="10"/>
        <color theme="1"/>
        <rFont val="細明體"/>
        <family val="3"/>
        <charset val="136"/>
      </rPr>
      <t>寬應大於</t>
    </r>
    <r>
      <rPr>
        <sz val="10"/>
        <color theme="1"/>
        <rFont val="Times New Roman"/>
        <family val="1"/>
      </rPr>
      <t>3x2cm</t>
    </r>
    <r>
      <rPr>
        <sz val="10"/>
        <color theme="1"/>
        <rFont val="細明體"/>
        <family val="3"/>
        <charset val="136"/>
      </rPr>
      <t>；大葉種第一片成熟葉長</t>
    </r>
    <r>
      <rPr>
        <sz val="10"/>
        <color theme="1"/>
        <rFont val="Times New Roman"/>
        <family val="1"/>
      </rPr>
      <t>x</t>
    </r>
    <r>
      <rPr>
        <sz val="10"/>
        <color theme="1"/>
        <rFont val="細明體"/>
        <family val="3"/>
        <charset val="136"/>
      </rPr>
      <t>寬應大於</t>
    </r>
    <r>
      <rPr>
        <sz val="10"/>
        <color theme="1"/>
        <rFont val="Times New Roman"/>
        <family val="1"/>
      </rPr>
      <t>5x3cm</t>
    </r>
    <r>
      <rPr>
        <sz val="10"/>
        <color theme="1"/>
        <rFont val="細明體"/>
        <family val="3"/>
        <charset val="136"/>
      </rPr>
      <t>。</t>
    </r>
    <phoneticPr fontId="1" type="noConversion"/>
  </si>
  <si>
    <t>Many small twigs at top layer of the canopy ?</t>
    <phoneticPr fontId="1" type="noConversion"/>
  </si>
  <si>
    <t>#2704</t>
    <phoneticPr fontId="1" type="noConversion"/>
  </si>
  <si>
    <r>
      <rPr>
        <sz val="10"/>
        <color theme="1"/>
        <rFont val="細明體"/>
        <family val="3"/>
        <charset val="136"/>
      </rPr>
      <t>植冠上層有許多細小分枝？</t>
    </r>
    <phoneticPr fontId="1" type="noConversion"/>
  </si>
  <si>
    <r>
      <rPr>
        <sz val="10"/>
        <color theme="1"/>
        <rFont val="新細明體"/>
        <family val="2"/>
        <charset val="136"/>
      </rPr>
      <t>多次採摘後都僅有輕修剪，造成雞爪枝。</t>
    </r>
    <phoneticPr fontId="1" type="noConversion"/>
  </si>
  <si>
    <r>
      <t>⼀</t>
    </r>
    <r>
      <rPr>
        <sz val="10"/>
        <color theme="1"/>
        <rFont val="細明體"/>
        <family val="3"/>
        <charset val="136"/>
      </rPr>
      <t>般在秋茶結束或後或者春茶萌發前進</t>
    </r>
    <r>
      <rPr>
        <sz val="10"/>
        <color theme="1"/>
        <rFont val="Times New Roman"/>
        <family val="1"/>
      </rPr>
      <t>⾏</t>
    </r>
    <r>
      <rPr>
        <sz val="10"/>
        <color theme="1"/>
        <rFont val="細明體"/>
        <family val="3"/>
        <charset val="136"/>
      </rPr>
      <t>輕修剪，減去表</t>
    </r>
    <r>
      <rPr>
        <sz val="10"/>
        <color theme="1"/>
        <rFont val="Times New Roman"/>
        <family val="1"/>
      </rPr>
      <t>⾯</t>
    </r>
    <r>
      <rPr>
        <sz val="10"/>
        <color theme="1"/>
        <rFont val="細明體"/>
        <family val="3"/>
        <charset val="136"/>
      </rPr>
      <t>的「雞爪」枝，細弱枝和突出枝，以保持採摘</t>
    </r>
    <r>
      <rPr>
        <sz val="10"/>
        <color theme="1"/>
        <rFont val="Times New Roman"/>
        <family val="1"/>
      </rPr>
      <t>⾯</t>
    </r>
    <r>
      <rPr>
        <sz val="10"/>
        <color theme="1"/>
        <rFont val="細明體"/>
        <family val="3"/>
        <charset val="136"/>
      </rPr>
      <t>的整</t>
    </r>
    <r>
      <rPr>
        <sz val="10"/>
        <color theme="1"/>
        <rFont val="Times New Roman"/>
        <family val="1"/>
      </rPr>
      <t>⿑</t>
    </r>
    <r>
      <rPr>
        <sz val="10"/>
        <color theme="1"/>
        <rFont val="細明體"/>
        <family val="3"/>
        <charset val="136"/>
      </rPr>
      <t>度，在</t>
    </r>
    <r>
      <rPr>
        <sz val="10"/>
        <color theme="1"/>
        <rFont val="Times New Roman"/>
        <family val="1"/>
      </rPr>
      <t>10⽉</t>
    </r>
    <r>
      <rPr>
        <sz val="10"/>
        <color theme="1"/>
        <rFont val="細明體"/>
        <family val="3"/>
        <charset val="136"/>
      </rPr>
      <t>下
旬到</t>
    </r>
    <r>
      <rPr>
        <sz val="10"/>
        <color theme="1"/>
        <rFont val="Times New Roman"/>
        <family val="1"/>
      </rPr>
      <t>11⽉</t>
    </r>
    <r>
      <rPr>
        <sz val="10"/>
        <color theme="1"/>
        <rFont val="細明體"/>
        <family val="3"/>
        <charset val="136"/>
      </rPr>
      <t>進</t>
    </r>
    <r>
      <rPr>
        <sz val="10"/>
        <color theme="1"/>
        <rFont val="Times New Roman"/>
        <family val="1"/>
      </rPr>
      <t>⾏</t>
    </r>
    <r>
      <rPr>
        <sz val="10"/>
        <color theme="1"/>
        <rFont val="細明體"/>
        <family val="3"/>
        <charset val="136"/>
      </rPr>
      <t>深修剪，剪去樹冠綠葉層厚度的</t>
    </r>
    <r>
      <rPr>
        <sz val="10"/>
        <color theme="1"/>
        <rFont val="Times New Roman"/>
        <family val="1"/>
      </rPr>
      <t>1/2~2/3</t>
    </r>
    <r>
      <rPr>
        <sz val="10"/>
        <color theme="1"/>
        <rFont val="細明體"/>
        <family val="3"/>
        <charset val="136"/>
      </rPr>
      <t>，以樹冠內的枯枝、結節枝、細弱枝的深度作為修位。
修剪前，要施入較多的有機肥和磷、鉀肥；修剪後待新梢萌發時，及時追施催芽肥，以促使新梢健壯</t>
    </r>
    <r>
      <rPr>
        <sz val="10"/>
        <color theme="1"/>
        <rFont val="Times New Roman"/>
        <family val="1"/>
      </rPr>
      <t>⽣⻑</t>
    </r>
    <r>
      <rPr>
        <sz val="10"/>
        <color theme="1"/>
        <rFont val="細明體"/>
        <family val="3"/>
        <charset val="136"/>
      </rPr>
      <t>，充分發揮修剪的應有效果。機採茶園的輕修剪宜選擇在秋冬季或早春；深修剪可安排在夏茶後，到翌年春茶萌發前再</t>
    </r>
    <r>
      <rPr>
        <sz val="10"/>
        <color theme="1"/>
        <rFont val="Times New Roman"/>
        <family val="1"/>
      </rPr>
      <t>⽤</t>
    </r>
    <r>
      <rPr>
        <sz val="10"/>
        <color theme="1"/>
        <rFont val="細明體"/>
        <family val="3"/>
        <charset val="136"/>
      </rPr>
      <t>修剪機整理冠</t>
    </r>
    <r>
      <rPr>
        <sz val="10"/>
        <color theme="1"/>
        <rFont val="Times New Roman"/>
        <family val="1"/>
      </rPr>
      <t>⾯</t>
    </r>
    <r>
      <rPr>
        <sz val="10"/>
        <color theme="1"/>
        <rFont val="細明體"/>
        <family val="3"/>
        <charset val="136"/>
      </rPr>
      <t xml:space="preserve">。
</t>
    </r>
    <r>
      <rPr>
        <sz val="10"/>
        <color theme="1"/>
        <rFont val="Times New Roman"/>
        <family val="1"/>
      </rPr>
      <t>⼿</t>
    </r>
    <r>
      <rPr>
        <sz val="10"/>
        <color theme="1"/>
        <rFont val="細明體"/>
        <family val="3"/>
        <charset val="136"/>
      </rPr>
      <t>採茶園宜將輕修剪或深修剪安排在春茶後進</t>
    </r>
    <r>
      <rPr>
        <sz val="10"/>
        <color theme="1"/>
        <rFont val="Times New Roman"/>
        <family val="1"/>
      </rPr>
      <t>⾏</t>
    </r>
    <r>
      <rPr>
        <sz val="10"/>
        <color theme="1"/>
        <rFont val="細明體"/>
        <family val="3"/>
        <charset val="136"/>
      </rPr>
      <t>，以保證當年及翌年春季名優茶產量不受影響。</t>
    </r>
    <phoneticPr fontId="1" type="noConversion"/>
  </si>
  <si>
    <r>
      <t>⼟</t>
    </r>
    <r>
      <rPr>
        <sz val="10"/>
        <color theme="1"/>
        <rFont val="細明體"/>
        <family val="3"/>
        <charset val="136"/>
      </rPr>
      <t>壤營養狀況，是決定衰老茶樹更新後能否迅速恢復樹勢，達到</t>
    </r>
    <r>
      <rPr>
        <sz val="10"/>
        <color theme="1"/>
        <rFont val="Times New Roman"/>
        <family val="1"/>
      </rPr>
      <t>⾼</t>
    </r>
    <r>
      <rPr>
        <sz val="10"/>
        <color theme="1"/>
        <rFont val="細明體"/>
        <family val="3"/>
        <charset val="136"/>
      </rPr>
      <t>產的重要影響因素。在缺肥少管的情況下修剪，只能消耗樹體更多的養分，加速樹勢衰敗，達不到更新復壯的</t>
    </r>
    <r>
      <rPr>
        <sz val="10"/>
        <color theme="1"/>
        <rFont val="Times New Roman"/>
        <family val="1"/>
      </rPr>
      <t>⽬</t>
    </r>
    <r>
      <rPr>
        <sz val="10"/>
        <color theme="1"/>
        <rFont val="細明體"/>
        <family val="3"/>
        <charset val="136"/>
      </rPr>
      <t xml:space="preserve">的。
</t>
    </r>
    <r>
      <rPr>
        <sz val="10"/>
        <color theme="1"/>
        <rFont val="Times New Roman"/>
        <family val="1"/>
      </rPr>
      <t>⼿</t>
    </r>
    <r>
      <rPr>
        <sz val="10"/>
        <color theme="1"/>
        <rFont val="細明體"/>
        <family val="3"/>
        <charset val="136"/>
      </rPr>
      <t>採茶園在園相和樹勢尚可的情況下，可多</t>
    </r>
    <r>
      <rPr>
        <sz val="10"/>
        <color theme="1"/>
        <rFont val="Times New Roman"/>
        <family val="1"/>
      </rPr>
      <t>⽤</t>
    </r>
    <r>
      <rPr>
        <sz val="10"/>
        <color theme="1"/>
        <rFont val="細明體"/>
        <family val="3"/>
        <charset val="136"/>
      </rPr>
      <t>超輕修剪</t>
    </r>
    <r>
      <rPr>
        <sz val="10"/>
        <color theme="1"/>
        <rFont val="Times New Roman"/>
        <family val="1"/>
      </rPr>
      <t>⽅</t>
    </r>
    <r>
      <rPr>
        <sz val="10"/>
        <color theme="1"/>
        <rFont val="細明體"/>
        <family val="3"/>
        <charset val="136"/>
      </rPr>
      <t>法，儘量減少輕修剪和深修剪次數，尤其要避免秋冬及早春程度較深的修剪措施，以保留</t>
    </r>
    <r>
      <rPr>
        <sz val="10"/>
        <color theme="1"/>
        <rFont val="Times New Roman"/>
        <family val="1"/>
      </rPr>
      <t>⾜</t>
    </r>
    <r>
      <rPr>
        <sz val="10"/>
        <color theme="1"/>
        <rFont val="細明體"/>
        <family val="3"/>
        <charset val="136"/>
      </rPr>
      <t>夠數量的越冬芽葉，確保春季名優茶產量；若園相和樹勢較差，需要</t>
    </r>
    <r>
      <rPr>
        <sz val="10"/>
        <color theme="1"/>
        <rFont val="Times New Roman"/>
        <family val="1"/>
      </rPr>
      <t>⽤</t>
    </r>
    <r>
      <rPr>
        <sz val="10"/>
        <color theme="1"/>
        <rFont val="細明體"/>
        <family val="3"/>
        <charset val="136"/>
      </rPr>
      <t>輕修剪或深修剪措施調整，宜將輕修剪或深修剪安排在春茶後進</t>
    </r>
    <r>
      <rPr>
        <sz val="10"/>
        <color theme="1"/>
        <rFont val="Times New Roman"/>
        <family val="1"/>
      </rPr>
      <t>⾏</t>
    </r>
    <r>
      <rPr>
        <sz val="10"/>
        <color theme="1"/>
        <rFont val="細明體"/>
        <family val="3"/>
        <charset val="136"/>
      </rPr>
      <t>，以保證當年及翌年春季名優茶產量不受影響。
冬季越早剪枝，萌芽越早，但萌芽過早會受寒流侵襲，反而延後春茶產期，因此最佳剪枝期在冬至以後，冬至後越晚剪枝者，春茶產期越晚，而完全不剪枝者最晚。</t>
    </r>
    <r>
      <rPr>
        <sz val="10"/>
        <color theme="1"/>
        <rFont val="Times New Roman"/>
        <family val="1"/>
      </rPr>
      <t xml:space="preserve"> </t>
    </r>
    <phoneticPr fontId="1" type="noConversion"/>
  </si>
  <si>
    <t>#2705</t>
    <phoneticPr fontId="1" type="noConversion"/>
  </si>
  <si>
    <r>
      <rPr>
        <sz val="10"/>
        <color theme="1"/>
        <rFont val="新細明體"/>
        <family val="2"/>
        <charset val="136"/>
      </rPr>
      <t>土表</t>
    </r>
    <r>
      <rPr>
        <sz val="10"/>
        <color theme="1"/>
        <rFont val="Times New Roman"/>
        <family val="1"/>
      </rPr>
      <t>10cm</t>
    </r>
    <r>
      <rPr>
        <sz val="10"/>
        <color theme="1"/>
        <rFont val="新細明體"/>
        <family val="2"/>
        <charset val="136"/>
      </rPr>
      <t>內可觀察到根系分佈？</t>
    </r>
    <phoneticPr fontId="1" type="noConversion"/>
  </si>
  <si>
    <r>
      <rPr>
        <sz val="10"/>
        <color theme="1"/>
        <rFont val="新細明體"/>
        <family val="2"/>
        <charset val="136"/>
      </rPr>
      <t>根系已上浮到土表。</t>
    </r>
    <phoneticPr fontId="1" type="noConversion"/>
  </si>
  <si>
    <r>
      <rPr>
        <sz val="10"/>
        <color theme="1"/>
        <rFont val="細明體"/>
        <family val="3"/>
        <charset val="136"/>
      </rPr>
      <t>利用小刀或小鏟子從莖基部向外慢慢撥開表土</t>
    </r>
    <r>
      <rPr>
        <sz val="10"/>
        <color theme="1"/>
        <rFont val="Times New Roman"/>
        <family val="1"/>
      </rPr>
      <t>/</t>
    </r>
    <r>
      <rPr>
        <sz val="10"/>
        <color theme="1"/>
        <rFont val="細明體"/>
        <family val="3"/>
        <charset val="136"/>
      </rPr>
      <t>覆蓋物，觀察根系是否已上浮到土表。
若根系已上浮到土表，極易受乾旱影響。</t>
    </r>
    <phoneticPr fontId="1" type="noConversion"/>
  </si>
  <si>
    <r>
      <rPr>
        <sz val="10"/>
        <color theme="1"/>
        <rFont val="細明體"/>
        <family val="3"/>
        <charset val="136"/>
      </rPr>
      <t>必須很小心的先透過淺中耕，搭配施肥和正確灌溉的方式，誘導根系逐漸向下發展。</t>
    </r>
    <phoneticPr fontId="1" type="noConversion"/>
  </si>
  <si>
    <t>Did not cultivate after fertilization ?</t>
    <phoneticPr fontId="1" type="noConversion"/>
  </si>
  <si>
    <t>#2706</t>
    <phoneticPr fontId="1" type="noConversion"/>
  </si>
  <si>
    <r>
      <rPr>
        <sz val="10"/>
        <color theme="1"/>
        <rFont val="細明體"/>
        <family val="3"/>
        <charset val="136"/>
      </rPr>
      <t>施肥後未中耕？</t>
    </r>
    <phoneticPr fontId="1" type="noConversion"/>
  </si>
  <si>
    <r>
      <rPr>
        <sz val="10"/>
        <color theme="1"/>
        <rFont val="細明體"/>
        <family val="3"/>
        <charset val="136"/>
      </rPr>
      <t>有機或化學肥料表施，易誘導根系從向表土發展。</t>
    </r>
    <phoneticPr fontId="1" type="noConversion"/>
  </si>
  <si>
    <r>
      <rPr>
        <sz val="10"/>
        <color theme="1"/>
        <rFont val="細明體"/>
        <family val="3"/>
        <charset val="136"/>
      </rPr>
      <t>施肥後應中耕，使有機和化學肥料拌入土中。</t>
    </r>
    <phoneticPr fontId="1" type="noConversion"/>
  </si>
  <si>
    <r>
      <rPr>
        <sz val="10"/>
        <color theme="1"/>
        <rFont val="細明體"/>
        <family val="3"/>
        <charset val="136"/>
      </rPr>
      <t>幼木茶樹中耕宜淺，茶樹周圍之雜草只能用手拔除，以免傷及根莖。
成木茶樹中耕宜深，一般成木茶樹行間耕作以深度不超過</t>
    </r>
    <r>
      <rPr>
        <sz val="10"/>
        <color theme="1"/>
        <rFont val="Times New Roman"/>
        <family val="1"/>
      </rPr>
      <t>30</t>
    </r>
    <r>
      <rPr>
        <sz val="10"/>
        <color theme="1"/>
        <rFont val="細明體"/>
        <family val="3"/>
        <charset val="136"/>
      </rPr>
      <t>公分，寬度不超過</t>
    </r>
    <r>
      <rPr>
        <sz val="10"/>
        <color theme="1"/>
        <rFont val="Times New Roman"/>
        <family val="1"/>
      </rPr>
      <t>40~50</t>
    </r>
    <r>
      <rPr>
        <sz val="10"/>
        <color theme="1"/>
        <rFont val="細明體"/>
        <family val="3"/>
        <charset val="136"/>
      </rPr>
      <t>公分，即行間可進行深耕，茶樹根際兩旁宜淺耕為宜。</t>
    </r>
    <phoneticPr fontId="1" type="noConversion"/>
  </si>
  <si>
    <t>#2707</t>
    <phoneticPr fontId="1" type="noConversion"/>
  </si>
  <si>
    <t>SiteEvaluation-1241</t>
    <phoneticPr fontId="1" type="noConversion"/>
  </si>
  <si>
    <r>
      <rPr>
        <sz val="10"/>
        <color theme="1"/>
        <rFont val="細明體"/>
        <family val="3"/>
        <charset val="136"/>
      </rPr>
      <t>經常淺灌，易誘導根系從向表土發展。</t>
    </r>
    <phoneticPr fontId="1" type="noConversion"/>
  </si>
  <si>
    <t>#2700</t>
    <phoneticPr fontId="1" type="noConversion"/>
  </si>
  <si>
    <t>Soils-2502</t>
    <phoneticPr fontId="1" type="noConversion"/>
  </si>
  <si>
    <r>
      <rPr>
        <sz val="10"/>
        <color theme="1"/>
        <rFont val="細明體"/>
        <family val="3"/>
        <charset val="136"/>
      </rPr>
      <t>茶園實施連年敷蓋者，很少中耕，根系淺易老化，水利用效率差，稍有乾旱即影響生產。</t>
    </r>
    <phoneticPr fontId="1" type="noConversion"/>
  </si>
  <si>
    <r>
      <rPr>
        <sz val="10"/>
        <color theme="1"/>
        <rFont val="細明體"/>
        <family val="3"/>
        <charset val="136"/>
      </rPr>
      <t>連續</t>
    </r>
    <r>
      <rPr>
        <sz val="10"/>
        <color theme="1"/>
        <rFont val="Times New Roman"/>
        <family val="1"/>
      </rPr>
      <t>3</t>
    </r>
    <r>
      <rPr>
        <sz val="10"/>
        <color theme="1"/>
        <rFont val="細明體"/>
        <family val="3"/>
        <charset val="136"/>
      </rPr>
      <t>張</t>
    </r>
    <r>
      <rPr>
        <sz val="10"/>
        <color theme="1"/>
        <rFont val="Times New Roman"/>
        <family val="1"/>
      </rPr>
      <t>(</t>
    </r>
    <r>
      <rPr>
        <sz val="10"/>
        <color theme="1"/>
        <rFont val="細明體"/>
        <family val="3"/>
        <charset val="136"/>
      </rPr>
      <t>遠觀、近照、有機覆蓋物層</t>
    </r>
    <r>
      <rPr>
        <sz val="10"/>
        <color theme="1"/>
        <rFont val="Times New Roman"/>
        <family val="1"/>
      </rPr>
      <t>)</t>
    </r>
    <phoneticPr fontId="1" type="noConversion"/>
  </si>
  <si>
    <r>
      <rPr>
        <sz val="10"/>
        <color theme="1"/>
        <rFont val="細明體"/>
        <family val="3"/>
        <charset val="136"/>
      </rPr>
      <t>長年敷蓋的茶樹必須更重視中耕及深耕</t>
    </r>
    <phoneticPr fontId="1" type="noConversion"/>
  </si>
  <si>
    <t>May have Floating Roots problem</t>
    <phoneticPr fontId="1" type="noConversion"/>
  </si>
  <si>
    <t>#2801</t>
    <phoneticPr fontId="1" type="noConversion"/>
  </si>
  <si>
    <r>
      <rPr>
        <sz val="10"/>
        <color rgb="FFFF0000"/>
        <rFont val="新細明體"/>
        <family val="1"/>
        <charset val="136"/>
      </rPr>
      <t>有浮根問題</t>
    </r>
    <phoneticPr fontId="1" type="noConversion"/>
  </si>
  <si>
    <t>Main Branch 2, Secondary Branch 8: Weakened Tree Diagnosis</t>
    <phoneticPr fontId="1" type="noConversion"/>
  </si>
  <si>
    <r>
      <rPr>
        <sz val="10"/>
        <color rgb="FFFF0000"/>
        <rFont val="細明體"/>
        <family val="3"/>
        <charset val="136"/>
      </rPr>
      <t>是否有樹勢早衰問題</t>
    </r>
    <phoneticPr fontId="1" type="noConversion"/>
  </si>
  <si>
    <t>#2802</t>
    <phoneticPr fontId="1" type="noConversion"/>
  </si>
  <si>
    <t>#2800</t>
    <phoneticPr fontId="1" type="noConversion"/>
  </si>
  <si>
    <t>Answer-12</t>
    <phoneticPr fontId="1" type="noConversion"/>
  </si>
  <si>
    <r>
      <rPr>
        <sz val="10"/>
        <color theme="1"/>
        <rFont val="細明體"/>
        <family val="3"/>
        <charset val="136"/>
      </rPr>
      <t>樹齡應該可以比</t>
    </r>
    <r>
      <rPr>
        <sz val="10"/>
        <color theme="1"/>
        <rFont val="Times New Roman"/>
        <family val="1"/>
      </rPr>
      <t>15</t>
    </r>
    <r>
      <rPr>
        <sz val="10"/>
        <color theme="1"/>
        <rFont val="細明體"/>
        <family val="3"/>
        <charset val="136"/>
      </rPr>
      <t>年更長。</t>
    </r>
    <phoneticPr fontId="1" type="noConversion"/>
  </si>
  <si>
    <t>Q2802</t>
    <phoneticPr fontId="1" type="noConversion"/>
  </si>
  <si>
    <t>#2803</t>
    <phoneticPr fontId="1" type="noConversion"/>
  </si>
  <si>
    <r>
      <rPr>
        <sz val="10"/>
        <color theme="1"/>
        <rFont val="新細明體"/>
        <family val="1"/>
        <charset val="136"/>
      </rPr>
      <t>對開葉太多，新梢無法萌發？</t>
    </r>
    <phoneticPr fontId="1" type="noConversion"/>
  </si>
  <si>
    <r>
      <rPr>
        <sz val="10"/>
        <color theme="1"/>
        <rFont val="新細明體"/>
        <family val="2"/>
        <charset val="136"/>
      </rPr>
      <t>生長勢變弱。</t>
    </r>
    <phoneticPr fontId="1" type="noConversion"/>
  </si>
  <si>
    <r>
      <rPr>
        <sz val="10"/>
        <color theme="1"/>
        <rFont val="細明體"/>
        <family val="3"/>
        <charset val="136"/>
      </rPr>
      <t>在頂芽</t>
    </r>
    <r>
      <rPr>
        <sz val="10"/>
        <color theme="1"/>
        <rFont val="Times New Roman"/>
        <family val="1"/>
      </rPr>
      <t>⽣⻑</t>
    </r>
    <r>
      <rPr>
        <sz val="10"/>
        <color theme="1"/>
        <rFont val="細明體"/>
        <family val="3"/>
        <charset val="136"/>
      </rPr>
      <t>停</t>
    </r>
    <r>
      <rPr>
        <sz val="10"/>
        <color theme="1"/>
        <rFont val="Times New Roman"/>
        <family val="1"/>
      </rPr>
      <t>⽌</t>
    </r>
    <r>
      <rPr>
        <sz val="10"/>
        <color theme="1"/>
        <rFont val="細明體"/>
        <family val="3"/>
        <charset val="136"/>
      </rPr>
      <t>的新梢上，靠近頂芽形似對</t>
    </r>
    <r>
      <rPr>
        <sz val="10"/>
        <color theme="1"/>
        <rFont val="Times New Roman"/>
        <family val="1"/>
      </rPr>
      <t>⽣</t>
    </r>
    <r>
      <rPr>
        <sz val="10"/>
        <color theme="1"/>
        <rFont val="細明體"/>
        <family val="3"/>
        <charset val="136"/>
      </rPr>
      <t>狀態的兩片葉被稱為「對夾葉」。
與正常芽葉相比，對夾葉極易老化，內含物質如</t>
    </r>
    <r>
      <rPr>
        <sz val="10"/>
        <color theme="1"/>
        <rFont val="Times New Roman"/>
        <family val="1"/>
      </rPr>
      <t>⽔</t>
    </r>
    <r>
      <rPr>
        <sz val="10"/>
        <color theme="1"/>
        <rFont val="細明體"/>
        <family val="3"/>
        <charset val="136"/>
      </rPr>
      <t>浸出物、多酚類、兒茶素、胺基酸、咖啡鹼等均顯著低於正常新梢，粗纖維含量</t>
    </r>
    <r>
      <rPr>
        <sz val="10"/>
        <color theme="1"/>
        <rFont val="Times New Roman"/>
        <family val="1"/>
      </rPr>
      <t>⾼</t>
    </r>
    <r>
      <rPr>
        <sz val="10"/>
        <color theme="1"/>
        <rFont val="細明體"/>
        <family val="3"/>
        <charset val="136"/>
      </rPr>
      <t>。在</t>
    </r>
    <r>
      <rPr>
        <sz val="10"/>
        <color theme="1"/>
        <rFont val="Times New Roman"/>
        <family val="1"/>
      </rPr>
      <t>⽣</t>
    </r>
    <r>
      <rPr>
        <sz val="10"/>
        <color theme="1"/>
        <rFont val="細明體"/>
        <family val="3"/>
        <charset val="136"/>
      </rPr>
      <t>產上常把對夾葉與正常芽葉組成的多少作為判斷茶樹</t>
    </r>
    <r>
      <rPr>
        <sz val="10"/>
        <color theme="1"/>
        <rFont val="Times New Roman"/>
        <family val="1"/>
      </rPr>
      <t>⽣⻑</t>
    </r>
    <r>
      <rPr>
        <sz val="10"/>
        <color theme="1"/>
        <rFont val="細明體"/>
        <family val="3"/>
        <charset val="136"/>
      </rPr>
      <t>勢強弱和鮮葉原料老嫩的主要依據。</t>
    </r>
    <phoneticPr fontId="1" type="noConversion"/>
  </si>
  <si>
    <r>
      <rPr>
        <sz val="10"/>
        <color theme="1"/>
        <rFont val="細明體"/>
        <family val="3"/>
        <charset val="136"/>
      </rPr>
      <t>多數品種的最適</t>
    </r>
    <r>
      <rPr>
        <sz val="10"/>
        <color theme="1"/>
        <rFont val="Times New Roman"/>
        <family val="1"/>
      </rPr>
      <t>⽣⻑</t>
    </r>
    <r>
      <rPr>
        <sz val="10"/>
        <color theme="1"/>
        <rFont val="細明體"/>
        <family val="3"/>
        <charset val="136"/>
      </rPr>
      <t>溫度為</t>
    </r>
    <r>
      <rPr>
        <sz val="10"/>
        <color theme="1"/>
        <rFont val="Times New Roman"/>
        <family val="1"/>
      </rPr>
      <t>20</t>
    </r>
    <r>
      <rPr>
        <sz val="10"/>
        <color theme="1"/>
        <rFont val="細明體"/>
        <family val="3"/>
        <charset val="136"/>
      </rPr>
      <t>～</t>
    </r>
    <r>
      <rPr>
        <sz val="10"/>
        <color theme="1"/>
        <rFont val="Times New Roman"/>
        <family val="1"/>
      </rPr>
      <t>30</t>
    </r>
    <r>
      <rPr>
        <sz val="10"/>
        <color theme="1"/>
        <rFont val="細明體"/>
        <family val="3"/>
        <charset val="136"/>
      </rPr>
      <t>℃，在此溫度範圍內，如其他</t>
    </r>
    <r>
      <rPr>
        <sz val="10"/>
        <color theme="1"/>
        <rFont val="Times New Roman"/>
        <family val="1"/>
      </rPr>
      <t>⽣</t>
    </r>
    <r>
      <rPr>
        <sz val="10"/>
        <color theme="1"/>
        <rFont val="細明體"/>
        <family val="3"/>
        <charset val="136"/>
      </rPr>
      <t>育條件滿</t>
    </r>
    <r>
      <rPr>
        <sz val="10"/>
        <color theme="1"/>
        <rFont val="Times New Roman"/>
        <family val="1"/>
      </rPr>
      <t>⾜</t>
    </r>
    <r>
      <rPr>
        <sz val="10"/>
        <color theme="1"/>
        <rFont val="細明體"/>
        <family val="3"/>
        <charset val="136"/>
      </rPr>
      <t>其</t>
    </r>
    <r>
      <rPr>
        <sz val="10"/>
        <color theme="1"/>
        <rFont val="Times New Roman"/>
        <family val="1"/>
      </rPr>
      <t>⽣⻑</t>
    </r>
    <r>
      <rPr>
        <sz val="10"/>
        <color theme="1"/>
        <rFont val="細明體"/>
        <family val="3"/>
        <charset val="136"/>
      </rPr>
      <t>需要，則隨著溫度升</t>
    </r>
    <r>
      <rPr>
        <sz val="10"/>
        <color theme="1"/>
        <rFont val="Times New Roman"/>
        <family val="1"/>
      </rPr>
      <t>⾼</t>
    </r>
    <r>
      <rPr>
        <sz val="10"/>
        <color theme="1"/>
        <rFont val="細明體"/>
        <family val="3"/>
        <charset val="136"/>
      </rPr>
      <t>，</t>
    </r>
    <r>
      <rPr>
        <sz val="10"/>
        <color theme="1"/>
        <rFont val="Times New Roman"/>
        <family val="1"/>
      </rPr>
      <t>⽣</t>
    </r>
    <r>
      <rPr>
        <sz val="10"/>
        <color theme="1"/>
        <rFont val="細明體"/>
        <family val="3"/>
        <charset val="136"/>
      </rPr>
      <t xml:space="preserve">育速度加快。
</t>
    </r>
    <r>
      <rPr>
        <sz val="10"/>
        <color theme="1"/>
        <rFont val="Times New Roman"/>
        <family val="1"/>
      </rPr>
      <t>⾼</t>
    </r>
    <r>
      <rPr>
        <sz val="10"/>
        <color theme="1"/>
        <rFont val="細明體"/>
        <family val="3"/>
        <charset val="136"/>
      </rPr>
      <t>溫可以促進薄壁細胞增厚及液泡形成，促進厚壁組織纖維細胞增厚並</t>
    </r>
    <r>
      <rPr>
        <sz val="10"/>
        <color theme="1"/>
        <rFont val="Times New Roman"/>
        <family val="1"/>
      </rPr>
      <t>⽊</t>
    </r>
    <r>
      <rPr>
        <sz val="10"/>
        <color theme="1"/>
        <rFont val="細明體"/>
        <family val="3"/>
        <charset val="136"/>
      </rPr>
      <t>質化，促進新梢莖的</t>
    </r>
    <r>
      <rPr>
        <sz val="10"/>
        <color theme="1"/>
        <rFont val="Times New Roman"/>
        <family val="1"/>
      </rPr>
      <t>⽊</t>
    </r>
    <r>
      <rPr>
        <sz val="10"/>
        <color theme="1"/>
        <rFont val="細明體"/>
        <family val="3"/>
        <charset val="136"/>
      </rPr>
      <t>質部發育。所以，氣溫越</t>
    </r>
    <r>
      <rPr>
        <sz val="10"/>
        <color theme="1"/>
        <rFont val="Times New Roman"/>
        <family val="1"/>
      </rPr>
      <t>⾼</t>
    </r>
    <r>
      <rPr>
        <sz val="10"/>
        <color theme="1"/>
        <rFont val="細明體"/>
        <family val="3"/>
        <charset val="136"/>
      </rPr>
      <t>，嫩葉展開與增</t>
    </r>
    <r>
      <rPr>
        <sz val="10"/>
        <color theme="1"/>
        <rFont val="Times New Roman"/>
        <family val="1"/>
      </rPr>
      <t>⼤</t>
    </r>
    <r>
      <rPr>
        <sz val="10"/>
        <color theme="1"/>
        <rFont val="細明體"/>
        <family val="3"/>
        <charset val="136"/>
      </rPr>
      <t>增厚也越快。同時嫩葉轉變為綠</t>
    </r>
    <r>
      <rPr>
        <sz val="10"/>
        <color theme="1"/>
        <rFont val="Times New Roman"/>
        <family val="1"/>
      </rPr>
      <t>⾊</t>
    </r>
    <r>
      <rPr>
        <sz val="10"/>
        <color theme="1"/>
        <rFont val="細明體"/>
        <family val="3"/>
        <charset val="136"/>
      </rPr>
      <t>速度加快，對夾葉發</t>
    </r>
    <r>
      <rPr>
        <sz val="10"/>
        <color theme="1"/>
        <rFont val="Times New Roman"/>
        <family val="1"/>
      </rPr>
      <t>⽣</t>
    </r>
    <r>
      <rPr>
        <sz val="10"/>
        <color theme="1"/>
        <rFont val="細明體"/>
        <family val="3"/>
        <charset val="136"/>
      </rPr>
      <t>量增加，多酚類物質增多，茶氨酸和胺基酸總量下降，使茶葉滋味苦澀，品質下降。</t>
    </r>
    <phoneticPr fontId="1" type="noConversion"/>
  </si>
  <si>
    <t>#2804</t>
    <phoneticPr fontId="1" type="noConversion"/>
  </si>
  <si>
    <r>
      <rPr>
        <sz val="10"/>
        <color theme="1"/>
        <rFont val="細明體"/>
        <family val="3"/>
        <charset val="136"/>
      </rPr>
      <t>葉片無光澤且黃化，枝條瘦弱？</t>
    </r>
    <phoneticPr fontId="1" type="noConversion"/>
  </si>
  <si>
    <r>
      <rPr>
        <sz val="10"/>
        <color theme="1"/>
        <rFont val="新細明體"/>
        <family val="2"/>
        <charset val="136"/>
      </rPr>
      <t>根系吸收能力衰退。</t>
    </r>
    <phoneticPr fontId="1" type="noConversion"/>
  </si>
  <si>
    <t>#2805</t>
    <phoneticPr fontId="1" type="noConversion"/>
  </si>
  <si>
    <t>Soils-2202</t>
    <phoneticPr fontId="1" type="noConversion"/>
  </si>
  <si>
    <r>
      <rPr>
        <sz val="10"/>
        <color theme="1"/>
        <rFont val="新細明體"/>
        <family val="2"/>
        <charset val="136"/>
      </rPr>
      <t>可能有不當採摘、修剪，造成</t>
    </r>
    <r>
      <rPr>
        <sz val="10"/>
        <color theme="1"/>
        <rFont val="Times New Roman"/>
        <family val="1"/>
      </rPr>
      <t>⽣⻑</t>
    </r>
    <r>
      <rPr>
        <sz val="10"/>
        <color theme="1"/>
        <rFont val="新細明體"/>
        <family val="2"/>
        <charset val="136"/>
      </rPr>
      <t>勢衰退的問題。</t>
    </r>
    <phoneticPr fontId="1" type="noConversion"/>
  </si>
  <si>
    <r>
      <rPr>
        <sz val="10"/>
        <color theme="1"/>
        <rFont val="細明體"/>
        <family val="3"/>
        <charset val="136"/>
      </rPr>
      <t>不當的採摘、修剪，造成</t>
    </r>
    <r>
      <rPr>
        <sz val="10"/>
        <color theme="1"/>
        <rFont val="Times New Roman"/>
        <family val="1"/>
      </rPr>
      <t>⽣⻑</t>
    </r>
    <r>
      <rPr>
        <sz val="10"/>
        <color theme="1"/>
        <rFont val="細明體"/>
        <family val="3"/>
        <charset val="136"/>
      </rPr>
      <t>勢逐漸衰退，也會促進花蕾的發育。</t>
    </r>
    <phoneticPr fontId="1" type="noConversion"/>
  </si>
  <si>
    <t>Soils-2704</t>
    <phoneticPr fontId="1" type="noConversion"/>
  </si>
  <si>
    <r>
      <rPr>
        <sz val="10"/>
        <color theme="1"/>
        <rFont val="新細明體"/>
        <family val="2"/>
        <charset val="136"/>
      </rPr>
      <t>根系無法向下發展。</t>
    </r>
    <phoneticPr fontId="1" type="noConversion"/>
  </si>
  <si>
    <t>May have weakened tree problems</t>
    <phoneticPr fontId="1" type="noConversion"/>
  </si>
  <si>
    <r>
      <rPr>
        <sz val="10"/>
        <color rgb="FFFF0000"/>
        <rFont val="新細明體"/>
        <family val="1"/>
        <charset val="136"/>
      </rPr>
      <t>有樹勢早衰問題</t>
    </r>
    <phoneticPr fontId="1" type="noConversion"/>
  </si>
  <si>
    <r>
      <rPr>
        <sz val="10"/>
        <color theme="1"/>
        <rFont val="細明體"/>
        <family val="3"/>
        <charset val="136"/>
      </rPr>
      <t>依樹勢衰退程度可分成以下幾類更新方式，
中剪枝</t>
    </r>
    <r>
      <rPr>
        <sz val="10"/>
        <color theme="1"/>
        <rFont val="Times New Roman"/>
        <family val="1"/>
      </rPr>
      <t xml:space="preserve">: </t>
    </r>
    <r>
      <rPr>
        <sz val="10"/>
        <color theme="1"/>
        <rFont val="細明體"/>
        <family val="3"/>
        <charset val="136"/>
      </rPr>
      <t>茶樹分枝密，樹形尚佳，只是產量與品質下降，可採用中剪枝促使樹勢恢復。
深剪枝：茶樹樹冠面分枝已疏、茶芽萌芽率低、葉層變薄、且容易產生對口葉；但若莖基部粗大，且用指甲稍微剝皮後呈青綠色，代表主根仍有活力，可採用深剪枝更新樹勢。
台刈：樹勢嚴重衰老、枝條已呈現乾枯落葉現象、正常分枝少，雞爪枝多，枝枯病嚴重、產量與品質劇降，應採用台刈更新。台刈要在</t>
    </r>
    <r>
      <rPr>
        <sz val="10"/>
        <color theme="1"/>
        <rFont val="Times New Roman"/>
        <family val="1"/>
      </rPr>
      <t>4</t>
    </r>
    <r>
      <rPr>
        <sz val="10"/>
        <color theme="1"/>
        <rFont val="細明體"/>
        <family val="3"/>
        <charset val="136"/>
      </rPr>
      <t>月中旬至</t>
    </r>
    <r>
      <rPr>
        <sz val="10"/>
        <color theme="1"/>
        <rFont val="Times New Roman"/>
        <family val="1"/>
      </rPr>
      <t>5</t>
    </r>
    <r>
      <rPr>
        <sz val="10"/>
        <color theme="1"/>
        <rFont val="細明體"/>
        <family val="3"/>
        <charset val="136"/>
      </rPr>
      <t>月上旬間進行，此時期茶樹生長旺盛，利於恢復。台刈時，應同時搭配深耕，促進根系健全發展。
更新種植：茶樹缺株多、罹病蟲害嚴重、枝條乾枯、枝幹基部密生地衣苔蘚類植物，利用剪枝方法已無法使樹勢恢復。挖除老樹後，用挖土機將深度至少</t>
    </r>
    <r>
      <rPr>
        <sz val="10"/>
        <color theme="1"/>
        <rFont val="Times New Roman"/>
        <family val="1"/>
      </rPr>
      <t>70-90cm</t>
    </r>
    <r>
      <rPr>
        <sz val="10"/>
        <color theme="1"/>
        <rFont val="細明體"/>
        <family val="3"/>
        <charset val="136"/>
      </rPr>
      <t>的土壤挖鬆翻起，增加土壤曝曬機會，藉以殺死土壤中的病菌及害蟲。茶樹忌連作，應先休耕一年改種綠肥作物，並藉以改善土壤理化性質。
一般茶樹剪枝約在</t>
    </r>
    <r>
      <rPr>
        <sz val="10"/>
        <color theme="1"/>
        <rFont val="Times New Roman"/>
        <family val="1"/>
      </rPr>
      <t>12</t>
    </r>
    <r>
      <rPr>
        <sz val="10"/>
        <color theme="1"/>
        <rFont val="細明體"/>
        <family val="3"/>
        <charset val="136"/>
      </rPr>
      <t>月上旬至</t>
    </r>
    <r>
      <rPr>
        <sz val="10"/>
        <color theme="1"/>
        <rFont val="Times New Roman"/>
        <family val="1"/>
      </rPr>
      <t>1</t>
    </r>
    <r>
      <rPr>
        <sz val="10"/>
        <color theme="1"/>
        <rFont val="細明體"/>
        <family val="3"/>
        <charset val="136"/>
      </rPr>
      <t>月上旬</t>
    </r>
    <r>
      <rPr>
        <sz val="10"/>
        <color theme="1"/>
        <rFont val="Times New Roman"/>
        <family val="1"/>
      </rPr>
      <t>(</t>
    </r>
    <r>
      <rPr>
        <sz val="10"/>
        <color theme="1"/>
        <rFont val="細明體"/>
        <family val="3"/>
        <charset val="136"/>
      </rPr>
      <t>採摘結束後</t>
    </r>
    <r>
      <rPr>
        <sz val="10"/>
        <color theme="1"/>
        <rFont val="Times New Roman"/>
        <family val="1"/>
      </rPr>
      <t>)</t>
    </r>
    <r>
      <rPr>
        <sz val="10"/>
        <color theme="1"/>
        <rFont val="細明體"/>
        <family val="3"/>
        <charset val="136"/>
      </rPr>
      <t>進行，此時氣溫低，茶樹進入休眠期，停止萌芽。但應注意適時進行灌溉，提供足夠水分供茶樹生長，否則茶樹易枯死。為避免早生種茶樹</t>
    </r>
    <r>
      <rPr>
        <sz val="10"/>
        <color theme="1"/>
        <rFont val="Times New Roman"/>
        <family val="1"/>
      </rPr>
      <t>(</t>
    </r>
    <r>
      <rPr>
        <sz val="10"/>
        <color theme="1"/>
        <rFont val="細明體"/>
        <family val="3"/>
        <charset val="136"/>
      </rPr>
      <t>如台茶</t>
    </r>
    <r>
      <rPr>
        <sz val="10"/>
        <color theme="1"/>
        <rFont val="Times New Roman"/>
        <family val="1"/>
      </rPr>
      <t>12</t>
    </r>
    <r>
      <rPr>
        <sz val="10"/>
        <color theme="1"/>
        <rFont val="細明體"/>
        <family val="3"/>
        <charset val="136"/>
      </rPr>
      <t>、</t>
    </r>
    <r>
      <rPr>
        <sz val="10"/>
        <color theme="1"/>
        <rFont val="Times New Roman"/>
        <family val="1"/>
      </rPr>
      <t>13)</t>
    </r>
    <r>
      <rPr>
        <sz val="10"/>
        <color theme="1"/>
        <rFont val="細明體"/>
        <family val="3"/>
        <charset val="136"/>
      </rPr>
      <t>茶芽太早萌發受春季低溫影響，剪枝可延至一月上、中旬才進行修剪。
茶樹剪枝所用工具之刀口必須鋒利，且選擇陰天進行剪枝，盡量避免烈日時進行；剪口應平整不可受傷破裂，以免露水或雨水滯留其上，使枝條傷口腐爛或枯死；深剪枝應將老弱枝條一併剪除，深剪枝或台刈後的茶樹枝幹及寄生的地衣苔蘚類應予清除，受病蟲危害之枝條或枯枝應同時剪除，集中焚毀，免其繼續蔓延危害。</t>
    </r>
    <phoneticPr fontId="1" type="noConversion"/>
  </si>
  <si>
    <t>Main Branch 3:  Seedling and Young Plants Dagnosis</t>
    <phoneticPr fontId="1" type="noConversion"/>
  </si>
  <si>
    <r>
      <rPr>
        <sz val="10"/>
        <color rgb="FF0070C0"/>
        <rFont val="細明體"/>
        <family val="3"/>
        <charset val="136"/>
      </rPr>
      <t>新植茶苗</t>
    </r>
    <r>
      <rPr>
        <sz val="10"/>
        <color rgb="FF0070C0"/>
        <rFont val="Times New Roman"/>
        <family val="1"/>
      </rPr>
      <t>/</t>
    </r>
    <r>
      <rPr>
        <sz val="10"/>
        <color rgb="FF0070C0"/>
        <rFont val="細明體"/>
        <family val="3"/>
        <charset val="136"/>
      </rPr>
      <t>幼樹問題診斷</t>
    </r>
    <phoneticPr fontId="1" type="noConversion"/>
  </si>
  <si>
    <t>#3101</t>
    <phoneticPr fontId="1" type="noConversion"/>
  </si>
  <si>
    <t>#6</t>
    <phoneticPr fontId="1" type="noConversion"/>
  </si>
  <si>
    <t>Answer-13</t>
    <phoneticPr fontId="1" type="noConversion"/>
  </si>
  <si>
    <r>
      <rPr>
        <sz val="10"/>
        <color theme="1"/>
        <rFont val="細明體"/>
        <family val="3"/>
        <charset val="136"/>
      </rPr>
      <t>針對園內相對生長不良地點或整園產量偏低的原因進行診斷。
正常茶園每次茶菁收量應超過</t>
    </r>
    <r>
      <rPr>
        <sz val="10"/>
        <color theme="1"/>
        <rFont val="Times New Roman"/>
        <family val="1"/>
      </rPr>
      <t>300</t>
    </r>
    <r>
      <rPr>
        <sz val="10"/>
        <color theme="1"/>
        <rFont val="細明體"/>
        <family val="3"/>
        <charset val="136"/>
      </rPr>
      <t>台斤</t>
    </r>
    <r>
      <rPr>
        <sz val="10"/>
        <color theme="1"/>
        <rFont val="Times New Roman"/>
        <family val="1"/>
      </rPr>
      <t>/</t>
    </r>
    <r>
      <rPr>
        <sz val="10"/>
        <color theme="1"/>
        <rFont val="細明體"/>
        <family val="3"/>
        <charset val="136"/>
      </rPr>
      <t>分地，若超過</t>
    </r>
    <r>
      <rPr>
        <sz val="10"/>
        <color theme="1"/>
        <rFont val="Times New Roman"/>
        <family val="1"/>
      </rPr>
      <t>700</t>
    </r>
    <r>
      <rPr>
        <sz val="10"/>
        <color theme="1"/>
        <rFont val="細明體"/>
        <family val="3"/>
        <charset val="136"/>
      </rPr>
      <t>台斤</t>
    </r>
    <r>
      <rPr>
        <sz val="10"/>
        <color theme="1"/>
        <rFont val="Times New Roman"/>
        <family val="1"/>
      </rPr>
      <t>/</t>
    </r>
    <r>
      <rPr>
        <sz val="10"/>
        <color theme="1"/>
        <rFont val="細明體"/>
        <family val="3"/>
        <charset val="136"/>
      </rPr>
      <t>分地，就很不錯。</t>
    </r>
    <phoneticPr fontId="1" type="noConversion"/>
  </si>
  <si>
    <t>Main Branch 3, Secondary Branch 1: Soil Too Loose Diagnosis</t>
    <phoneticPr fontId="1" type="noConversion"/>
  </si>
  <si>
    <r>
      <rPr>
        <sz val="10"/>
        <color rgb="FFFF0000"/>
        <rFont val="細明體"/>
        <family val="3"/>
        <charset val="136"/>
      </rPr>
      <t>是否有土壤太鬆問題</t>
    </r>
    <phoneticPr fontId="1" type="noConversion"/>
  </si>
  <si>
    <t>Q3101</t>
    <phoneticPr fontId="1" type="noConversion"/>
  </si>
  <si>
    <t>#3100</t>
    <phoneticPr fontId="1" type="noConversion"/>
  </si>
  <si>
    <r>
      <rPr>
        <sz val="10"/>
        <color theme="1"/>
        <rFont val="細明體"/>
        <family val="3"/>
        <charset val="136"/>
      </rPr>
      <t>幼苗或幼株旁邊土壤踩踏會下陷？</t>
    </r>
    <phoneticPr fontId="1" type="noConversion"/>
  </si>
  <si>
    <r>
      <rPr>
        <sz val="10"/>
        <color theme="1"/>
        <rFont val="新細明體"/>
        <family val="2"/>
        <charset val="136"/>
      </rPr>
      <t>栽種時根系土壤未壓緊。</t>
    </r>
    <phoneticPr fontId="1" type="noConversion"/>
  </si>
  <si>
    <r>
      <rPr>
        <sz val="10"/>
        <color theme="1"/>
        <rFont val="新細明體"/>
        <family val="2"/>
        <charset val="136"/>
      </rPr>
      <t>栽種時根系土壤有壓緊。</t>
    </r>
    <phoneticPr fontId="1" type="noConversion"/>
  </si>
  <si>
    <r>
      <rPr>
        <sz val="10"/>
        <color theme="1"/>
        <rFont val="細明體"/>
        <family val="3"/>
        <charset val="136"/>
      </rPr>
      <t>栽種時土壤若未壓緊，遇風會搖晃，根系容易受損。</t>
    </r>
    <phoneticPr fontId="1" type="noConversion"/>
  </si>
  <si>
    <r>
      <rPr>
        <sz val="10"/>
        <color theme="1"/>
        <rFont val="細明體"/>
        <family val="3"/>
        <charset val="136"/>
      </rPr>
      <t>用腳將幼苗或幼株旁土壤踏緊。</t>
    </r>
    <phoneticPr fontId="1" type="noConversion"/>
  </si>
  <si>
    <t>May have soil too loose problems</t>
    <phoneticPr fontId="1" type="noConversion"/>
  </si>
  <si>
    <t>#3201</t>
    <phoneticPr fontId="1" type="noConversion"/>
  </si>
  <si>
    <r>
      <rPr>
        <sz val="10"/>
        <color rgb="FFFF0000"/>
        <rFont val="新細明體"/>
        <family val="1"/>
        <charset val="136"/>
      </rPr>
      <t>有土壤太鬆問題</t>
    </r>
    <phoneticPr fontId="1" type="noConversion"/>
  </si>
  <si>
    <t>Main Branch 3, Secondary Branch 2: Nutrients Deficiency Diagnosis</t>
    <phoneticPr fontId="1" type="noConversion"/>
  </si>
  <si>
    <r>
      <rPr>
        <sz val="10"/>
        <color rgb="FFFF0000"/>
        <rFont val="細明體"/>
        <family val="3"/>
        <charset val="136"/>
      </rPr>
      <t>是否有太早修剪問題</t>
    </r>
    <phoneticPr fontId="1" type="noConversion"/>
  </si>
  <si>
    <t>Q3201</t>
    <phoneticPr fontId="1" type="noConversion"/>
  </si>
  <si>
    <t>#3200</t>
    <phoneticPr fontId="1" type="noConversion"/>
  </si>
  <si>
    <r>
      <rPr>
        <sz val="10"/>
        <color theme="1"/>
        <rFont val="細明體"/>
        <family val="3"/>
        <charset val="136"/>
      </rPr>
      <t>主幹被修剪時株齡少於</t>
    </r>
    <r>
      <rPr>
        <sz val="10"/>
        <color theme="1"/>
        <rFont val="Times New Roman"/>
        <family val="1"/>
      </rPr>
      <t>2</t>
    </r>
    <r>
      <rPr>
        <sz val="10"/>
        <color theme="1"/>
        <rFont val="細明體"/>
        <family val="3"/>
        <charset val="136"/>
      </rPr>
      <t>年？</t>
    </r>
    <phoneticPr fontId="1" type="noConversion"/>
  </si>
  <si>
    <r>
      <rPr>
        <sz val="10"/>
        <color theme="1"/>
        <rFont val="新細明體"/>
        <family val="2"/>
        <charset val="136"/>
      </rPr>
      <t>主幹太早被修剪。</t>
    </r>
    <phoneticPr fontId="1" type="noConversion"/>
  </si>
  <si>
    <r>
      <rPr>
        <sz val="10"/>
        <color theme="1"/>
        <rFont val="細明體"/>
        <family val="3"/>
        <charset val="136"/>
      </rPr>
      <t>主幹太早被修剪，原本應向下發展的直根和側根發育停止，根系容易轉為水平方向發展。</t>
    </r>
    <phoneticPr fontId="1" type="noConversion"/>
  </si>
  <si>
    <r>
      <rPr>
        <sz val="10"/>
        <color theme="1"/>
        <rFont val="新細明體"/>
        <family val="1"/>
        <charset val="136"/>
      </rPr>
      <t>每年十一月至翌年三月下旬間的下雨時期均可種植，定植後第一個冬季</t>
    </r>
    <r>
      <rPr>
        <sz val="10"/>
        <color theme="1"/>
        <rFont val="Times New Roman"/>
        <family val="1"/>
      </rPr>
      <t>(</t>
    </r>
    <r>
      <rPr>
        <sz val="10"/>
        <color theme="1"/>
        <rFont val="新細明體"/>
        <family val="1"/>
        <charset val="136"/>
      </rPr>
      <t>定植後一年以上</t>
    </r>
    <r>
      <rPr>
        <sz val="10"/>
        <color theme="1"/>
        <rFont val="Times New Roman"/>
        <family val="1"/>
      </rPr>
      <t>)</t>
    </r>
    <r>
      <rPr>
        <sz val="10"/>
        <color theme="1"/>
        <rFont val="新細明體"/>
        <family val="1"/>
        <charset val="136"/>
      </rPr>
      <t>，視茶樹發育情形來決定剪枝與否，發育差者略予修剪，而發育良好者離地面</t>
    </r>
    <r>
      <rPr>
        <sz val="10"/>
        <color theme="1"/>
        <rFont val="Times New Roman"/>
        <family val="1"/>
      </rPr>
      <t>25~30</t>
    </r>
    <r>
      <rPr>
        <sz val="10"/>
        <color theme="1"/>
        <rFont val="新細明體"/>
        <family val="1"/>
        <charset val="136"/>
      </rPr>
      <t>公分處加以剪頂。爾後每年提高</t>
    </r>
    <r>
      <rPr>
        <sz val="10"/>
        <color theme="1"/>
        <rFont val="Times New Roman"/>
        <family val="1"/>
      </rPr>
      <t>5~10</t>
    </r>
    <r>
      <rPr>
        <sz val="10"/>
        <color theme="1"/>
        <rFont val="新細明體"/>
        <family val="1"/>
        <charset val="136"/>
      </rPr>
      <t>公分平剪。定植第四年時樹冠擴大成型，可增加採摘次數。冬季於離地面</t>
    </r>
    <r>
      <rPr>
        <sz val="10"/>
        <color theme="1"/>
        <rFont val="Times New Roman"/>
        <family val="1"/>
      </rPr>
      <t>40~45</t>
    </r>
    <r>
      <rPr>
        <sz val="10"/>
        <color theme="1"/>
        <rFont val="新細明體"/>
        <family val="1"/>
        <charset val="136"/>
      </rPr>
      <t>公分處施行淺弧形剪枝。冬季剪枝後其樹高在</t>
    </r>
    <r>
      <rPr>
        <sz val="10"/>
        <color theme="1"/>
        <rFont val="Times New Roman"/>
        <family val="1"/>
      </rPr>
      <t>45</t>
    </r>
    <r>
      <rPr>
        <sz val="10"/>
        <color theme="1"/>
        <rFont val="新細明體"/>
        <family val="1"/>
        <charset val="136"/>
      </rPr>
      <t>公分左右，樹冠在</t>
    </r>
    <r>
      <rPr>
        <sz val="10"/>
        <color theme="1"/>
        <rFont val="Times New Roman"/>
        <family val="1"/>
      </rPr>
      <t>60</t>
    </r>
    <r>
      <rPr>
        <sz val="10"/>
        <color theme="1"/>
        <rFont val="新細明體"/>
        <family val="1"/>
        <charset val="136"/>
      </rPr>
      <t>公分左右，已完成茶樹基本構型。</t>
    </r>
    <phoneticPr fontId="1" type="noConversion"/>
  </si>
  <si>
    <r>
      <rPr>
        <sz val="10"/>
        <color rgb="FFFF0000"/>
        <rFont val="新細明體"/>
        <family val="1"/>
        <charset val="136"/>
      </rPr>
      <t>有太早修剪問題</t>
    </r>
    <phoneticPr fontId="1" type="noConversion"/>
  </si>
  <si>
    <t>Main Branch 6:  Fertilization Practices Dagnosis</t>
    <phoneticPr fontId="1" type="noConversion"/>
  </si>
  <si>
    <r>
      <rPr>
        <sz val="10"/>
        <color rgb="FF0070C0"/>
        <rFont val="細明體"/>
        <family val="3"/>
        <charset val="136"/>
      </rPr>
      <t>肥料使用方式和用量診斷</t>
    </r>
    <phoneticPr fontId="1" type="noConversion"/>
  </si>
  <si>
    <t>Fertlization practices diagnosis ?</t>
    <phoneticPr fontId="1" type="noConversion"/>
  </si>
  <si>
    <t>#6101</t>
    <phoneticPr fontId="1" type="noConversion"/>
  </si>
  <si>
    <t>#0</t>
    <phoneticPr fontId="1" type="noConversion"/>
  </si>
  <si>
    <r>
      <rPr>
        <sz val="10"/>
        <color theme="1"/>
        <rFont val="新細明體"/>
        <family val="2"/>
        <charset val="136"/>
      </rPr>
      <t>診斷肥料使用方式和用量？</t>
    </r>
    <phoneticPr fontId="1" type="noConversion"/>
  </si>
  <si>
    <r>
      <rPr>
        <sz val="10"/>
        <color theme="1"/>
        <rFont val="細明體"/>
        <family val="3"/>
        <charset val="136"/>
      </rPr>
      <t>針對肥料使用方式和用量進行診斷。</t>
    </r>
    <phoneticPr fontId="1" type="noConversion"/>
  </si>
  <si>
    <t>Main Branch 3, Secondary Branch 1: Organic Liquid Fertilizer Quality Diagnosis</t>
    <phoneticPr fontId="1" type="noConversion"/>
  </si>
  <si>
    <r>
      <rPr>
        <sz val="10"/>
        <color rgb="FFFF0000"/>
        <rFont val="細明體"/>
        <family val="3"/>
        <charset val="136"/>
      </rPr>
      <t>自製有機液肥是否有問題</t>
    </r>
    <phoneticPr fontId="1" type="noConversion"/>
  </si>
  <si>
    <t>Self producing liquid organic fertilizer ?</t>
    <phoneticPr fontId="1" type="noConversion"/>
  </si>
  <si>
    <t>#6102</t>
    <phoneticPr fontId="1" type="noConversion"/>
  </si>
  <si>
    <t>#6201</t>
    <phoneticPr fontId="1" type="noConversion"/>
  </si>
  <si>
    <r>
      <rPr>
        <sz val="10"/>
        <rFont val="細明體"/>
        <family val="3"/>
        <charset val="136"/>
      </rPr>
      <t>自製有機液肥？</t>
    </r>
    <phoneticPr fontId="1" type="noConversion"/>
  </si>
  <si>
    <t>Q6102</t>
    <phoneticPr fontId="1" type="noConversion"/>
  </si>
  <si>
    <t>#6103</t>
    <phoneticPr fontId="1" type="noConversion"/>
  </si>
  <si>
    <r>
      <rPr>
        <sz val="10"/>
        <color theme="1"/>
        <rFont val="細明體"/>
        <family val="3"/>
        <charset val="136"/>
      </rPr>
      <t>有機液肥臭？</t>
    </r>
    <phoneticPr fontId="1" type="noConversion"/>
  </si>
  <si>
    <r>
      <rPr>
        <sz val="10"/>
        <color theme="1"/>
        <rFont val="細明體"/>
        <family val="3"/>
        <charset val="136"/>
      </rPr>
      <t>產生揮發性</t>
    </r>
    <r>
      <rPr>
        <sz val="10"/>
        <color theme="1"/>
        <rFont val="Times New Roman"/>
        <family val="1"/>
      </rPr>
      <t>NH3 &amp; H2S</t>
    </r>
    <r>
      <rPr>
        <sz val="10"/>
        <color theme="1"/>
        <rFont val="細明體"/>
        <family val="3"/>
        <charset val="136"/>
      </rPr>
      <t>，養分損失。</t>
    </r>
    <phoneticPr fontId="1" type="noConversion"/>
  </si>
  <si>
    <r>
      <rPr>
        <sz val="10"/>
        <color theme="1"/>
        <rFont val="細明體"/>
        <family val="3"/>
        <charset val="136"/>
      </rPr>
      <t>未產生揮發性</t>
    </r>
    <r>
      <rPr>
        <sz val="10"/>
        <color theme="1"/>
        <rFont val="Times New Roman"/>
        <family val="1"/>
      </rPr>
      <t>NH3 &amp; H2S</t>
    </r>
    <r>
      <rPr>
        <sz val="10"/>
        <color theme="1"/>
        <rFont val="細明體"/>
        <family val="3"/>
        <charset val="136"/>
      </rPr>
      <t>。</t>
    </r>
    <phoneticPr fontId="1" type="noConversion"/>
  </si>
  <si>
    <r>
      <rPr>
        <sz val="10"/>
        <color theme="1"/>
        <rFont val="新細明體"/>
        <family val="1"/>
        <charset val="136"/>
      </rPr>
      <t>臭味是產品品質的重要指標，有臭味表示有揮發成分之散失，如氨</t>
    </r>
    <r>
      <rPr>
        <sz val="10"/>
        <color theme="1"/>
        <rFont val="Times New Roman"/>
        <family val="1"/>
      </rPr>
      <t xml:space="preserve"> (</t>
    </r>
    <r>
      <rPr>
        <sz val="10"/>
        <color theme="1"/>
        <rFont val="新細明體"/>
        <family val="1"/>
        <charset val="136"/>
      </rPr>
      <t>氮肥、有機氮化合物</t>
    </r>
    <r>
      <rPr>
        <sz val="10"/>
        <color theme="1"/>
        <rFont val="Times New Roman"/>
        <family val="1"/>
      </rPr>
      <t>)</t>
    </r>
    <r>
      <rPr>
        <sz val="10"/>
        <color theme="1"/>
        <rFont val="新細明體"/>
        <family val="1"/>
        <charset val="136"/>
      </rPr>
      <t>、硫化物</t>
    </r>
    <r>
      <rPr>
        <sz val="10"/>
        <color theme="1"/>
        <rFont val="Times New Roman"/>
        <family val="1"/>
      </rPr>
      <t xml:space="preserve"> (</t>
    </r>
    <r>
      <rPr>
        <sz val="10"/>
        <color theme="1"/>
        <rFont val="新細明體"/>
        <family val="1"/>
        <charset val="136"/>
      </rPr>
      <t>硫化氫、有機硫化合物</t>
    </r>
    <r>
      <rPr>
        <sz val="10"/>
        <color theme="1"/>
        <rFont val="Times New Roman"/>
        <family val="1"/>
      </rPr>
      <t>)</t>
    </r>
    <r>
      <rPr>
        <sz val="10"/>
        <color theme="1"/>
        <rFont val="新細明體"/>
        <family val="1"/>
        <charset val="136"/>
      </rPr>
      <t>、醛類、酸類、醇類等，在無通氣環境或未接種有益微生物下，最易產生發臭的液態有機質肥料。</t>
    </r>
    <phoneticPr fontId="1" type="noConversion"/>
  </si>
  <si>
    <r>
      <rPr>
        <sz val="10"/>
        <color theme="1"/>
        <rFont val="細明體"/>
        <family val="3"/>
        <charset val="136"/>
      </rPr>
      <t>接種有益微生物</t>
    </r>
    <r>
      <rPr>
        <sz val="10"/>
        <color theme="1"/>
        <rFont val="Times New Roman"/>
        <family val="1"/>
      </rPr>
      <t>(</t>
    </r>
    <r>
      <rPr>
        <sz val="10"/>
        <color theme="1"/>
        <rFont val="細明體"/>
        <family val="3"/>
        <charset val="136"/>
      </rPr>
      <t>木黴菌或枯草桿菌</t>
    </r>
    <r>
      <rPr>
        <sz val="10"/>
        <color theme="1"/>
        <rFont val="Times New Roman"/>
        <family val="1"/>
      </rPr>
      <t>)</t>
    </r>
    <r>
      <rPr>
        <sz val="10"/>
        <color theme="1"/>
        <rFont val="細明體"/>
        <family val="3"/>
        <charset val="136"/>
      </rPr>
      <t>，或降低原料濃度，以免超過微生物的容忍度。</t>
    </r>
    <phoneticPr fontId="1" type="noConversion"/>
  </si>
  <si>
    <t>Q6103</t>
    <phoneticPr fontId="1" type="noConversion"/>
  </si>
  <si>
    <t>#6104</t>
    <phoneticPr fontId="1" type="noConversion"/>
  </si>
  <si>
    <r>
      <rPr>
        <sz val="10"/>
        <color theme="1"/>
        <rFont val="細明體"/>
        <family val="3"/>
        <charset val="136"/>
      </rPr>
      <t>有機液肥未加</t>
    </r>
    <r>
      <rPr>
        <sz val="10"/>
        <color theme="1"/>
        <rFont val="Times New Roman"/>
        <family val="1"/>
      </rPr>
      <t xml:space="preserve"> </t>
    </r>
    <r>
      <rPr>
        <sz val="10"/>
        <color theme="1"/>
        <rFont val="細明體"/>
        <family val="3"/>
        <charset val="136"/>
      </rPr>
      <t>糖蜜</t>
    </r>
    <r>
      <rPr>
        <sz val="10"/>
        <color theme="1"/>
        <rFont val="Times New Roman"/>
        <family val="1"/>
      </rPr>
      <t>/</t>
    </r>
    <r>
      <rPr>
        <sz val="10"/>
        <color theme="1"/>
        <rFont val="細明體"/>
        <family val="3"/>
        <charset val="136"/>
      </rPr>
      <t>骨粉</t>
    </r>
    <r>
      <rPr>
        <sz val="10"/>
        <color theme="1"/>
        <rFont val="Times New Roman"/>
        <family val="1"/>
      </rPr>
      <t>/</t>
    </r>
    <r>
      <rPr>
        <sz val="10"/>
        <color theme="1"/>
        <rFont val="細明體"/>
        <family val="3"/>
        <charset val="136"/>
      </rPr>
      <t>過期牛乳</t>
    </r>
    <r>
      <rPr>
        <sz val="10"/>
        <color theme="1"/>
        <rFont val="Times New Roman"/>
        <family val="1"/>
      </rPr>
      <t>/</t>
    </r>
    <r>
      <rPr>
        <sz val="10"/>
        <color theme="1"/>
        <rFont val="細明體"/>
        <family val="3"/>
        <charset val="136"/>
      </rPr>
      <t>魚粉？</t>
    </r>
    <phoneticPr fontId="1" type="noConversion"/>
  </si>
  <si>
    <r>
      <rPr>
        <sz val="10"/>
        <color theme="1"/>
        <rFont val="新細明體"/>
        <family val="1"/>
        <charset val="136"/>
      </rPr>
      <t>有機液肥缺鈣。</t>
    </r>
    <phoneticPr fontId="1" type="noConversion"/>
  </si>
  <si>
    <r>
      <rPr>
        <sz val="10"/>
        <color theme="1"/>
        <rFont val="細明體"/>
        <family val="3"/>
        <charset val="136"/>
      </rPr>
      <t>有添加含鈣原料。</t>
    </r>
    <phoneticPr fontId="1" type="noConversion"/>
  </si>
  <si>
    <r>
      <rPr>
        <sz val="10"/>
        <color theme="1"/>
        <rFont val="細明體"/>
        <family val="3"/>
        <charset val="136"/>
      </rPr>
      <t>米糠</t>
    </r>
    <r>
      <rPr>
        <sz val="10"/>
        <color theme="1"/>
        <rFont val="Times New Roman"/>
        <family val="1"/>
      </rPr>
      <t>(P, N)</t>
    </r>
    <r>
      <rPr>
        <sz val="10"/>
        <color theme="1"/>
        <rFont val="細明體"/>
        <family val="3"/>
        <charset val="136"/>
      </rPr>
      <t>和豆粕</t>
    </r>
    <r>
      <rPr>
        <sz val="10"/>
        <color theme="1"/>
        <rFont val="Times New Roman"/>
        <family val="1"/>
      </rPr>
      <t>(N, P, K)</t>
    </r>
    <r>
      <rPr>
        <sz val="10"/>
        <color theme="1"/>
        <rFont val="細明體"/>
        <family val="3"/>
        <charset val="136"/>
      </rPr>
      <t>不含鈣。糖蜜</t>
    </r>
    <r>
      <rPr>
        <sz val="10"/>
        <color theme="1"/>
        <rFont val="Times New Roman"/>
        <family val="1"/>
      </rPr>
      <t xml:space="preserve">(C, K, Ca), </t>
    </r>
    <r>
      <rPr>
        <sz val="10"/>
        <color theme="1"/>
        <rFont val="細明體"/>
        <family val="3"/>
        <charset val="136"/>
      </rPr>
      <t>骨粉</t>
    </r>
    <r>
      <rPr>
        <sz val="10"/>
        <color theme="1"/>
        <rFont val="Times New Roman"/>
        <family val="1"/>
      </rPr>
      <t xml:space="preserve">(P, N, Ca), </t>
    </r>
    <r>
      <rPr>
        <sz val="10"/>
        <color theme="1"/>
        <rFont val="細明體"/>
        <family val="3"/>
        <charset val="136"/>
      </rPr>
      <t>過期牛乳</t>
    </r>
    <r>
      <rPr>
        <sz val="10"/>
        <color theme="1"/>
        <rFont val="Times New Roman"/>
        <family val="1"/>
      </rPr>
      <t xml:space="preserve">(N, Ca), </t>
    </r>
    <r>
      <rPr>
        <sz val="10"/>
        <color theme="1"/>
        <rFont val="細明體"/>
        <family val="3"/>
        <charset val="136"/>
      </rPr>
      <t>魚粉</t>
    </r>
    <r>
      <rPr>
        <sz val="10"/>
        <color theme="1"/>
        <rFont val="Times New Roman"/>
        <family val="1"/>
      </rPr>
      <t>(N, Ca, P, Fe)</t>
    </r>
    <r>
      <rPr>
        <sz val="10"/>
        <color theme="1"/>
        <rFont val="細明體"/>
        <family val="3"/>
        <charset val="136"/>
      </rPr>
      <t>才有。</t>
    </r>
    <phoneticPr fontId="1" type="noConversion"/>
  </si>
  <si>
    <r>
      <rPr>
        <sz val="10"/>
        <color theme="1"/>
        <rFont val="細明體"/>
        <family val="3"/>
        <charset val="136"/>
      </rPr>
      <t>原料中加入糖蜜</t>
    </r>
    <r>
      <rPr>
        <sz val="10"/>
        <color theme="1"/>
        <rFont val="Times New Roman"/>
        <family val="1"/>
      </rPr>
      <t>(C, K, Ca)</t>
    </r>
    <r>
      <rPr>
        <sz val="10"/>
        <color theme="1"/>
        <rFont val="細明體"/>
        <family val="3"/>
        <charset val="136"/>
      </rPr>
      <t>、骨粉</t>
    </r>
    <r>
      <rPr>
        <sz val="10"/>
        <color theme="1"/>
        <rFont val="Times New Roman"/>
        <family val="1"/>
      </rPr>
      <t>(P, N, Ca)</t>
    </r>
    <r>
      <rPr>
        <sz val="10"/>
        <color theme="1"/>
        <rFont val="細明體"/>
        <family val="3"/>
        <charset val="136"/>
      </rPr>
      <t>、過期牛乳</t>
    </r>
    <r>
      <rPr>
        <sz val="10"/>
        <color theme="1"/>
        <rFont val="Times New Roman"/>
        <family val="1"/>
      </rPr>
      <t>(N, Ca)</t>
    </r>
    <r>
      <rPr>
        <sz val="10"/>
        <color theme="1"/>
        <rFont val="細明體"/>
        <family val="3"/>
        <charset val="136"/>
      </rPr>
      <t>、魚粉</t>
    </r>
    <r>
      <rPr>
        <sz val="10"/>
        <color theme="1"/>
        <rFont val="Times New Roman"/>
        <family val="1"/>
      </rPr>
      <t>(N, Ca, P, Fe)</t>
    </r>
    <r>
      <rPr>
        <sz val="10"/>
        <color theme="1"/>
        <rFont val="細明體"/>
        <family val="3"/>
        <charset val="136"/>
      </rPr>
      <t>。</t>
    </r>
    <phoneticPr fontId="1" type="noConversion"/>
  </si>
  <si>
    <t>Q6104</t>
    <phoneticPr fontId="1" type="noConversion"/>
  </si>
  <si>
    <t>#6105</t>
    <phoneticPr fontId="1" type="noConversion"/>
  </si>
  <si>
    <r>
      <rPr>
        <sz val="10"/>
        <color theme="1"/>
        <rFont val="細明體"/>
        <family val="3"/>
        <charset val="136"/>
      </rPr>
      <t>有機液肥</t>
    </r>
    <r>
      <rPr>
        <sz val="10"/>
        <color theme="1"/>
        <rFont val="Times New Roman"/>
        <family val="1"/>
      </rPr>
      <t>pH</t>
    </r>
    <r>
      <rPr>
        <sz val="10"/>
        <color theme="1"/>
        <rFont val="細明體"/>
        <family val="3"/>
        <charset val="136"/>
      </rPr>
      <t>太低</t>
    </r>
    <r>
      <rPr>
        <sz val="10"/>
        <color theme="1"/>
        <rFont val="Times New Roman"/>
        <family val="1"/>
      </rPr>
      <t>(&lt;4)</t>
    </r>
    <r>
      <rPr>
        <sz val="10"/>
        <color theme="1"/>
        <rFont val="細明體"/>
        <family val="3"/>
        <charset val="136"/>
      </rPr>
      <t>？</t>
    </r>
    <phoneticPr fontId="1" type="noConversion"/>
  </si>
  <si>
    <r>
      <t>pH &gt; 4</t>
    </r>
    <r>
      <rPr>
        <sz val="10"/>
        <color theme="1"/>
        <rFont val="細明體"/>
        <family val="3"/>
        <charset val="136"/>
      </rPr>
      <t>。</t>
    </r>
    <phoneticPr fontId="1" type="noConversion"/>
  </si>
  <si>
    <r>
      <rPr>
        <sz val="10"/>
        <color theme="1"/>
        <rFont val="細明體"/>
        <family val="3"/>
        <charset val="136"/>
      </rPr>
      <t>可加蚌殼、蝸牛殼、大骨、</t>
    </r>
    <r>
      <rPr>
        <sz val="10"/>
        <color theme="1"/>
        <rFont val="Times New Roman"/>
        <family val="1"/>
      </rPr>
      <t xml:space="preserve">  </t>
    </r>
    <r>
      <rPr>
        <sz val="10"/>
        <color theme="1"/>
        <rFont val="細明體"/>
        <family val="3"/>
        <charset val="136"/>
      </rPr>
      <t>熟石灰以增加鈣。</t>
    </r>
    <phoneticPr fontId="1" type="noConversion"/>
  </si>
  <si>
    <t>Q6105</t>
    <phoneticPr fontId="1" type="noConversion"/>
  </si>
  <si>
    <t>#6106</t>
    <phoneticPr fontId="1" type="noConversion"/>
  </si>
  <si>
    <r>
      <rPr>
        <sz val="10"/>
        <color theme="1"/>
        <rFont val="細明體"/>
        <family val="3"/>
        <charset val="136"/>
      </rPr>
      <t>有機液肥</t>
    </r>
    <r>
      <rPr>
        <sz val="10"/>
        <color theme="1"/>
        <rFont val="Times New Roman"/>
        <family val="1"/>
      </rPr>
      <t>ECe &lt; 10 dS/m</t>
    </r>
    <r>
      <rPr>
        <sz val="10"/>
        <color theme="1"/>
        <rFont val="細明體"/>
        <family val="3"/>
        <charset val="136"/>
      </rPr>
      <t>？</t>
    </r>
    <phoneticPr fontId="1" type="noConversion"/>
  </si>
  <si>
    <r>
      <rPr>
        <sz val="10"/>
        <color theme="1"/>
        <rFont val="新細明體"/>
        <family val="1"/>
        <charset val="136"/>
      </rPr>
      <t>有機液肥太稀。</t>
    </r>
    <phoneticPr fontId="1" type="noConversion"/>
  </si>
  <si>
    <r>
      <t>ECe &gt; 10 dS/m</t>
    </r>
    <r>
      <rPr>
        <sz val="10"/>
        <color theme="1"/>
        <rFont val="細明體"/>
        <family val="3"/>
        <charset val="136"/>
      </rPr>
      <t>。</t>
    </r>
    <phoneticPr fontId="1" type="noConversion"/>
  </si>
  <si>
    <r>
      <t>EC</t>
    </r>
    <r>
      <rPr>
        <sz val="10"/>
        <color theme="1"/>
        <rFont val="細明體"/>
        <family val="3"/>
        <charset val="136"/>
      </rPr>
      <t>值太低，代表原料被生物分解量少。
利用可攜式</t>
    </r>
    <r>
      <rPr>
        <sz val="10"/>
        <color theme="1"/>
        <rFont val="Times New Roman"/>
        <family val="1"/>
      </rPr>
      <t>EC</t>
    </r>
    <r>
      <rPr>
        <sz val="10"/>
        <color theme="1"/>
        <rFont val="細明體"/>
        <family val="3"/>
        <charset val="136"/>
      </rPr>
      <t>計檢測</t>
    </r>
    <r>
      <rPr>
        <sz val="10"/>
        <color theme="1"/>
        <rFont val="Times New Roman"/>
        <family val="1"/>
      </rPr>
      <t xml:space="preserve"> [dS/m = mS/cm= 1000uS/cm ~550 ppm (mg/L)]</t>
    </r>
    <r>
      <rPr>
        <sz val="10"/>
        <color theme="1"/>
        <rFont val="細明體"/>
        <family val="3"/>
        <charset val="136"/>
      </rPr>
      <t>。</t>
    </r>
    <phoneticPr fontId="1" type="noConversion"/>
  </si>
  <si>
    <r>
      <rPr>
        <sz val="10"/>
        <color theme="1"/>
        <rFont val="細明體"/>
        <family val="3"/>
        <charset val="136"/>
      </rPr>
      <t>降低原料加水比例。</t>
    </r>
    <phoneticPr fontId="1" type="noConversion"/>
  </si>
  <si>
    <r>
      <rPr>
        <sz val="10"/>
        <color theme="1"/>
        <rFont val="細明體"/>
        <family val="3"/>
        <charset val="136"/>
      </rPr>
      <t>原料的發酵分解作用與</t>
    </r>
    <r>
      <rPr>
        <sz val="10"/>
        <color theme="1"/>
        <rFont val="Times New Roman"/>
        <family val="1"/>
      </rPr>
      <t>EC</t>
    </r>
    <r>
      <rPr>
        <sz val="10"/>
        <color theme="1"/>
        <rFont val="細明體"/>
        <family val="3"/>
        <charset val="136"/>
      </rPr>
      <t>值隨時間的增加量有正相關。</t>
    </r>
    <r>
      <rPr>
        <sz val="10"/>
        <color theme="1"/>
        <rFont val="Times New Roman"/>
        <family val="1"/>
      </rPr>
      <t>EC</t>
    </r>
    <r>
      <rPr>
        <sz val="10"/>
        <color theme="1"/>
        <rFont val="細明體"/>
        <family val="3"/>
        <charset val="136"/>
      </rPr>
      <t>值增加越多，代表可溶的電解質增加多，即原料的生物分解量越多；</t>
    </r>
    <r>
      <rPr>
        <sz val="10"/>
        <color theme="1"/>
        <rFont val="Times New Roman"/>
        <family val="1"/>
      </rPr>
      <t>EC</t>
    </r>
    <r>
      <rPr>
        <sz val="10"/>
        <color theme="1"/>
        <rFont val="細明體"/>
        <family val="3"/>
        <charset val="136"/>
      </rPr>
      <t>值增加少，代表生物活性低，原料的生物分解量少。</t>
    </r>
    <phoneticPr fontId="1" type="noConversion"/>
  </si>
  <si>
    <t>Q6106</t>
    <phoneticPr fontId="1" type="noConversion"/>
  </si>
  <si>
    <t>#6107</t>
    <phoneticPr fontId="1" type="noConversion"/>
  </si>
  <si>
    <r>
      <rPr>
        <sz val="10"/>
        <color theme="1"/>
        <rFont val="新細明體"/>
        <family val="1"/>
        <charset val="136"/>
      </rPr>
      <t>有機液肥</t>
    </r>
    <r>
      <rPr>
        <sz val="10"/>
        <color theme="1"/>
        <rFont val="Times New Roman"/>
        <family val="1"/>
      </rPr>
      <t>ECe &gt; 30 dS/m</t>
    </r>
    <r>
      <rPr>
        <sz val="10"/>
        <color theme="1"/>
        <rFont val="新細明體"/>
        <family val="1"/>
        <charset val="136"/>
      </rPr>
      <t>？</t>
    </r>
    <phoneticPr fontId="1" type="noConversion"/>
  </si>
  <si>
    <r>
      <rPr>
        <sz val="10"/>
        <color theme="1"/>
        <rFont val="新細明體"/>
        <family val="1"/>
        <charset val="136"/>
      </rPr>
      <t>有機液肥太濃。</t>
    </r>
    <phoneticPr fontId="1" type="noConversion"/>
  </si>
  <si>
    <r>
      <t>ECe &lt; 30 dS/m</t>
    </r>
    <r>
      <rPr>
        <sz val="10"/>
        <color theme="1"/>
        <rFont val="細明體"/>
        <family val="3"/>
        <charset val="136"/>
      </rPr>
      <t>。</t>
    </r>
    <phoneticPr fontId="1" type="noConversion"/>
  </si>
  <si>
    <r>
      <rPr>
        <sz val="10"/>
        <color theme="1"/>
        <rFont val="細明體"/>
        <family val="3"/>
        <charset val="136"/>
      </rPr>
      <t>濃度不宜高於微生物醱酵之容忍度，否則微生物無法發揮分解之功能，易導致發酵</t>
    </r>
    <r>
      <rPr>
        <sz val="10"/>
        <color theme="1"/>
        <rFont val="Times New Roman"/>
        <family val="1"/>
      </rPr>
      <t>/</t>
    </r>
    <r>
      <rPr>
        <sz val="10"/>
        <color theme="1"/>
        <rFont val="細明體"/>
        <family val="3"/>
        <charset val="136"/>
      </rPr>
      <t>分解不良，且易產生異味。
利用可攜式</t>
    </r>
    <r>
      <rPr>
        <sz val="10"/>
        <color theme="1"/>
        <rFont val="Times New Roman"/>
        <family val="1"/>
      </rPr>
      <t>EC</t>
    </r>
    <r>
      <rPr>
        <sz val="10"/>
        <color theme="1"/>
        <rFont val="細明體"/>
        <family val="3"/>
        <charset val="136"/>
      </rPr>
      <t>計檢測</t>
    </r>
    <r>
      <rPr>
        <sz val="10"/>
        <color theme="1"/>
        <rFont val="Times New Roman"/>
        <family val="1"/>
      </rPr>
      <t xml:space="preserve"> [dS/m = mS/cm= 1000uS/cm ~550 ppm (mg/L)]</t>
    </r>
    <r>
      <rPr>
        <sz val="10"/>
        <color theme="1"/>
        <rFont val="細明體"/>
        <family val="3"/>
        <charset val="136"/>
      </rPr>
      <t>。</t>
    </r>
    <phoneticPr fontId="1" type="noConversion"/>
  </si>
  <si>
    <r>
      <rPr>
        <sz val="10"/>
        <color theme="1"/>
        <rFont val="細明體"/>
        <family val="3"/>
        <charset val="136"/>
      </rPr>
      <t>提高原料加水比例。</t>
    </r>
    <phoneticPr fontId="1" type="noConversion"/>
  </si>
  <si>
    <r>
      <rPr>
        <sz val="10"/>
        <color theme="1"/>
        <rFont val="細明體"/>
        <family val="3"/>
        <charset val="136"/>
      </rPr>
      <t>若醱酵正常則有乳酸氣味，有些微生物則會有菌絲產生。生產的時間長短，依醱酵溫度、曝氣量、微生物之數量、碳源及能源而定，一般約</t>
    </r>
    <r>
      <rPr>
        <sz val="10"/>
        <color theme="1"/>
        <rFont val="Times New Roman"/>
        <family val="1"/>
      </rPr>
      <t xml:space="preserve"> 10</t>
    </r>
    <r>
      <rPr>
        <sz val="10"/>
        <color theme="1"/>
        <rFont val="Arial Unicode MS"/>
        <family val="2"/>
        <charset val="136"/>
      </rPr>
      <t>∼</t>
    </r>
    <r>
      <rPr>
        <sz val="10"/>
        <color theme="1"/>
        <rFont val="Times New Roman"/>
        <family val="1"/>
      </rPr>
      <t xml:space="preserve">20 </t>
    </r>
    <r>
      <rPr>
        <sz val="10"/>
        <color theme="1"/>
        <rFont val="細明體"/>
        <family val="3"/>
        <charset val="136"/>
      </rPr>
      <t>天之間即可完成。</t>
    </r>
    <phoneticPr fontId="1" type="noConversion"/>
  </si>
  <si>
    <t>Q6107</t>
    <phoneticPr fontId="1" type="noConversion"/>
  </si>
  <si>
    <t>#6100</t>
    <phoneticPr fontId="1" type="noConversion"/>
  </si>
  <si>
    <r>
      <rPr>
        <sz val="10"/>
        <color theme="1"/>
        <rFont val="新細明體"/>
        <family val="1"/>
        <charset val="136"/>
      </rPr>
      <t>有機液肥施用方式和濃度是否正確？</t>
    </r>
    <phoneticPr fontId="1" type="noConversion"/>
  </si>
  <si>
    <r>
      <rPr>
        <sz val="10"/>
        <color theme="1"/>
        <rFont val="新細明體"/>
        <family val="1"/>
        <charset val="136"/>
      </rPr>
      <t>有機液肥施用方式和濃度正確。</t>
    </r>
    <phoneticPr fontId="1" type="noConversion"/>
  </si>
  <si>
    <r>
      <rPr>
        <sz val="10"/>
        <color theme="1"/>
        <rFont val="新細明體"/>
        <family val="1"/>
        <charset val="136"/>
      </rPr>
      <t>有機液肥施用方式和濃度不正確。</t>
    </r>
    <phoneticPr fontId="1" type="noConversion"/>
  </si>
  <si>
    <r>
      <rPr>
        <sz val="10"/>
        <color theme="1"/>
        <rFont val="細明體"/>
        <family val="3"/>
        <charset val="136"/>
      </rPr>
      <t>若以葉面施肥方式施用，濃度不宜超過</t>
    </r>
    <r>
      <rPr>
        <sz val="10"/>
        <color theme="1"/>
        <rFont val="Times New Roman"/>
        <family val="1"/>
      </rPr>
      <t>0.2 dS/m</t>
    </r>
    <r>
      <rPr>
        <sz val="10"/>
        <color theme="1"/>
        <rFont val="細明體"/>
        <family val="3"/>
        <charset val="136"/>
      </rPr>
      <t>；施用時間點在下午傍晚最好，天氣不熱又漸入夜晚，對噴施後葉子保持濕潤的時間會比較久，對葉子葉面吸收效果最好。
若注入土壤，濃度不宜超過</t>
    </r>
    <r>
      <rPr>
        <sz val="10"/>
        <color theme="1"/>
        <rFont val="Times New Roman"/>
        <family val="1"/>
      </rPr>
      <t>2 dS/m</t>
    </r>
    <r>
      <rPr>
        <sz val="10"/>
        <color theme="1"/>
        <rFont val="細明體"/>
        <family val="3"/>
        <charset val="136"/>
      </rPr>
      <t>。</t>
    </r>
    <phoneticPr fontId="1" type="noConversion"/>
  </si>
  <si>
    <r>
      <rPr>
        <sz val="10"/>
        <color theme="1"/>
        <rFont val="細明體"/>
        <family val="3"/>
        <charset val="136"/>
      </rPr>
      <t>調整施用方式和濃度。</t>
    </r>
    <phoneticPr fontId="1" type="noConversion"/>
  </si>
  <si>
    <t>Poor Organic Liquid Fertilizer Quality</t>
    <phoneticPr fontId="1" type="noConversion"/>
  </si>
  <si>
    <t>Max Possible</t>
    <phoneticPr fontId="1" type="noConversion"/>
  </si>
  <si>
    <r>
      <rPr>
        <sz val="10"/>
        <color rgb="FFFF0000"/>
        <rFont val="新細明體"/>
        <family val="1"/>
        <charset val="136"/>
      </rPr>
      <t>有機液肥製作不良</t>
    </r>
    <phoneticPr fontId="1" type="noConversion"/>
  </si>
  <si>
    <t>Main Branch 6, Secondary Branch 2: Organic Fertilizer Usage Diagnosis</t>
    <phoneticPr fontId="1" type="noConversion"/>
  </si>
  <si>
    <r>
      <rPr>
        <sz val="10"/>
        <color rgb="FFFF0000"/>
        <rFont val="細明體"/>
        <family val="3"/>
        <charset val="136"/>
      </rPr>
      <t>有機質肥料使用方式是否正確</t>
    </r>
    <phoneticPr fontId="1" type="noConversion"/>
  </si>
  <si>
    <t>Q6201</t>
    <phoneticPr fontId="1" type="noConversion"/>
  </si>
  <si>
    <t>#6202</t>
    <phoneticPr fontId="1" type="noConversion"/>
  </si>
  <si>
    <t>#6301</t>
    <phoneticPr fontId="1" type="noConversion"/>
  </si>
  <si>
    <r>
      <rPr>
        <sz val="10"/>
        <rFont val="細明體"/>
        <family val="3"/>
        <charset val="136"/>
      </rPr>
      <t>施用有機肥料？</t>
    </r>
    <phoneticPr fontId="1" type="noConversion"/>
  </si>
  <si>
    <t>Q6202</t>
    <phoneticPr fontId="1" type="noConversion"/>
  </si>
  <si>
    <t>#6203</t>
    <phoneticPr fontId="1" type="noConversion"/>
  </si>
  <si>
    <r>
      <rPr>
        <sz val="10"/>
        <color theme="1"/>
        <rFont val="細明體"/>
        <family val="3"/>
        <charset val="136"/>
      </rPr>
      <t>使用未腐熟有機質肥料。</t>
    </r>
    <phoneticPr fontId="1" type="noConversion"/>
  </si>
  <si>
    <r>
      <rPr>
        <sz val="10"/>
        <color theme="1"/>
        <rFont val="新細明體"/>
        <family val="1"/>
        <charset val="136"/>
      </rPr>
      <t>施用未經腐熟的禽畜糞</t>
    </r>
    <r>
      <rPr>
        <sz val="10"/>
        <color theme="1"/>
        <rFont val="Times New Roman"/>
        <family val="1"/>
      </rPr>
      <t>(</t>
    </r>
    <r>
      <rPr>
        <sz val="10"/>
        <color theme="1"/>
        <rFont val="新細明體"/>
        <family val="1"/>
        <charset val="136"/>
      </rPr>
      <t>如生雞糞</t>
    </r>
    <r>
      <rPr>
        <sz val="10"/>
        <color theme="1"/>
        <rFont val="Times New Roman"/>
        <family val="1"/>
      </rPr>
      <t>)</t>
    </r>
    <r>
      <rPr>
        <sz val="10"/>
        <color theme="1"/>
        <rFont val="新細明體"/>
        <family val="1"/>
        <charset val="136"/>
      </rPr>
      <t>除會產生惡臭外，也可能招來大量蒼蠅，不僅會將雞糞殘留在茶葉面上，也會把蠅便排泄在葉背上，造成製茶衛生問題，有時還帶來病原菌。即使施用乾雞糞，也會因下雨或灌溉而繼續腐敗發酵。故禽畜糞應經充分發酵腐熟後才可施用，且施後應行覆土，肥份才不會流失，也較容易移動到下層土壤供根系吸收利用。
未經腐熟的禽畜糞碳氮比低，含有較多的鹽類及氮素，易因強烈礦質化作用，發生肥傷或氮素過多的結果。</t>
    </r>
    <phoneticPr fontId="1" type="noConversion"/>
  </si>
  <si>
    <t>Q6203</t>
    <phoneticPr fontId="1" type="noConversion"/>
  </si>
  <si>
    <t>#6204</t>
    <phoneticPr fontId="1" type="noConversion"/>
  </si>
  <si>
    <r>
      <rPr>
        <sz val="10"/>
        <color theme="1"/>
        <rFont val="細明體"/>
        <family val="3"/>
        <charset val="136"/>
      </rPr>
      <t>有機質肥料施用時機</t>
    </r>
    <r>
      <rPr>
        <sz val="10"/>
        <color theme="1"/>
        <rFont val="Times New Roman"/>
        <family val="1"/>
      </rPr>
      <t>/</t>
    </r>
    <r>
      <rPr>
        <sz val="10"/>
        <color theme="1"/>
        <rFont val="細明體"/>
        <family val="3"/>
        <charset val="136"/>
      </rPr>
      <t>品目正確。</t>
    </r>
    <phoneticPr fontId="1" type="noConversion"/>
  </si>
  <si>
    <r>
      <rPr>
        <sz val="10"/>
        <color theme="1"/>
        <rFont val="細明體"/>
        <family val="3"/>
        <charset val="136"/>
      </rPr>
      <t>有機質肥料施用時機</t>
    </r>
    <r>
      <rPr>
        <sz val="10"/>
        <color theme="1"/>
        <rFont val="Times New Roman"/>
        <family val="1"/>
      </rPr>
      <t>/</t>
    </r>
    <r>
      <rPr>
        <sz val="10"/>
        <color theme="1"/>
        <rFont val="細明體"/>
        <family val="3"/>
        <charset val="136"/>
      </rPr>
      <t>品目不正確。</t>
    </r>
    <phoneticPr fontId="1" type="noConversion"/>
  </si>
  <si>
    <r>
      <rPr>
        <sz val="10"/>
        <color theme="1"/>
        <rFont val="新細明體"/>
        <family val="1"/>
        <charset val="136"/>
      </rPr>
      <t>作為追肥使用：應使用易分解有機肥料</t>
    </r>
    <r>
      <rPr>
        <sz val="10"/>
        <color theme="1"/>
        <rFont val="Times New Roman"/>
        <family val="1"/>
      </rPr>
      <t>(</t>
    </r>
    <r>
      <rPr>
        <sz val="10"/>
        <color theme="1"/>
        <rFont val="新細明體"/>
        <family val="1"/>
        <charset val="136"/>
      </rPr>
      <t>植物渣粕肥料</t>
    </r>
    <r>
      <rPr>
        <sz val="10"/>
        <color theme="1"/>
        <rFont val="Times New Roman"/>
        <family val="1"/>
      </rPr>
      <t>(</t>
    </r>
    <r>
      <rPr>
        <sz val="10"/>
        <color theme="1"/>
        <rFont val="新細明體"/>
        <family val="1"/>
        <charset val="136"/>
      </rPr>
      <t>品目編號</t>
    </r>
    <r>
      <rPr>
        <sz val="10"/>
        <color theme="1"/>
        <rFont val="Times New Roman"/>
        <family val="1"/>
      </rPr>
      <t>5-01)</t>
    </r>
    <r>
      <rPr>
        <sz val="10"/>
        <color theme="1"/>
        <rFont val="新細明體"/>
        <family val="1"/>
        <charset val="136"/>
      </rPr>
      <t>、魚廢渣肥料</t>
    </r>
    <r>
      <rPr>
        <sz val="10"/>
        <color theme="1"/>
        <rFont val="Times New Roman"/>
        <family val="1"/>
      </rPr>
      <t>(</t>
    </r>
    <r>
      <rPr>
        <sz val="10"/>
        <color theme="1"/>
        <rFont val="新細明體"/>
        <family val="1"/>
        <charset val="136"/>
      </rPr>
      <t>品目編號</t>
    </r>
    <r>
      <rPr>
        <sz val="10"/>
        <color theme="1"/>
        <rFont val="Times New Roman"/>
        <family val="1"/>
      </rPr>
      <t>5-03)</t>
    </r>
    <r>
      <rPr>
        <sz val="10"/>
        <color theme="1"/>
        <rFont val="新細明體"/>
        <family val="1"/>
        <charset val="136"/>
      </rPr>
      <t>、動物廢渣肥料</t>
    </r>
    <r>
      <rPr>
        <sz val="10"/>
        <color theme="1"/>
        <rFont val="Times New Roman"/>
        <family val="1"/>
      </rPr>
      <t>(</t>
    </r>
    <r>
      <rPr>
        <sz val="10"/>
        <color theme="1"/>
        <rFont val="新細明體"/>
        <family val="1"/>
        <charset val="136"/>
      </rPr>
      <t>品目編號</t>
    </r>
    <r>
      <rPr>
        <sz val="10"/>
        <color theme="1"/>
        <rFont val="Times New Roman"/>
        <family val="1"/>
      </rPr>
      <t>5-04)</t>
    </r>
    <r>
      <rPr>
        <sz val="10"/>
        <color theme="1"/>
        <rFont val="新細明體"/>
        <family val="1"/>
        <charset val="136"/>
      </rPr>
      <t>、雞糞等</t>
    </r>
    <r>
      <rPr>
        <sz val="10"/>
        <color theme="1"/>
        <rFont val="Times New Roman"/>
        <family val="1"/>
      </rPr>
      <t xml:space="preserve">)
</t>
    </r>
    <r>
      <rPr>
        <sz val="10"/>
        <color theme="1"/>
        <rFont val="新細明體"/>
        <family val="1"/>
        <charset val="136"/>
      </rPr>
      <t>作為基肥使用：應使用易分解有機肥料</t>
    </r>
    <r>
      <rPr>
        <sz val="10"/>
        <color theme="1"/>
        <rFont val="Times New Roman"/>
        <family val="1"/>
      </rPr>
      <t>(</t>
    </r>
    <r>
      <rPr>
        <sz val="10"/>
        <color theme="1"/>
        <rFont val="新細明體"/>
        <family val="1"/>
        <charset val="136"/>
      </rPr>
      <t>牛糞、豬糞、羊糞、落葉堆肥等</t>
    </r>
    <r>
      <rPr>
        <sz val="10"/>
        <color theme="1"/>
        <rFont val="Times New Roman"/>
        <family val="1"/>
      </rPr>
      <t xml:space="preserve">)
</t>
    </r>
    <r>
      <rPr>
        <sz val="10"/>
        <color theme="1"/>
        <rFont val="新細明體"/>
        <family val="1"/>
        <charset val="136"/>
      </rPr>
      <t>作為底肥使用：使用腐熟完全，氮成分低</t>
    </r>
    <r>
      <rPr>
        <sz val="10"/>
        <color theme="1"/>
        <rFont val="Times New Roman"/>
        <family val="1"/>
      </rPr>
      <t>(&lt;2.5%)</t>
    </r>
    <r>
      <rPr>
        <sz val="10"/>
        <color theme="1"/>
        <rFont val="新細明體"/>
        <family val="1"/>
        <charset val="136"/>
      </rPr>
      <t>、粗纖維多的一般堆肥</t>
    </r>
    <r>
      <rPr>
        <sz val="10"/>
        <color theme="1"/>
        <rFont val="Times New Roman"/>
        <family val="1"/>
      </rPr>
      <t>(</t>
    </r>
    <r>
      <rPr>
        <sz val="10"/>
        <color theme="1"/>
        <rFont val="新細明體"/>
        <family val="1"/>
        <charset val="136"/>
      </rPr>
      <t>品目編號</t>
    </r>
    <r>
      <rPr>
        <sz val="10"/>
        <color theme="1"/>
        <rFont val="Times New Roman"/>
        <family val="1"/>
      </rPr>
      <t>5-10)</t>
    </r>
    <r>
      <rPr>
        <sz val="10"/>
        <color theme="1"/>
        <rFont val="新細明體"/>
        <family val="1"/>
        <charset val="136"/>
      </rPr>
      <t>最宜，禽畜糞堆肥</t>
    </r>
    <r>
      <rPr>
        <sz val="10"/>
        <color theme="1"/>
        <rFont val="Times New Roman"/>
        <family val="1"/>
      </rPr>
      <t>(</t>
    </r>
    <r>
      <rPr>
        <sz val="10"/>
        <color theme="1"/>
        <rFont val="新細明體"/>
        <family val="1"/>
        <charset val="136"/>
      </rPr>
      <t>品目編號</t>
    </r>
    <r>
      <rPr>
        <sz val="10"/>
        <color theme="1"/>
        <rFont val="Times New Roman"/>
        <family val="1"/>
      </rPr>
      <t>5-09)</t>
    </r>
    <r>
      <rPr>
        <sz val="10"/>
        <color theme="1"/>
        <rFont val="新細明體"/>
        <family val="1"/>
        <charset val="136"/>
      </rPr>
      <t>亦可。</t>
    </r>
    <phoneticPr fontId="1" type="noConversion"/>
  </si>
  <si>
    <t>Q6204</t>
    <phoneticPr fontId="1" type="noConversion"/>
  </si>
  <si>
    <t>#6200</t>
    <phoneticPr fontId="1" type="noConversion"/>
  </si>
  <si>
    <r>
      <rPr>
        <sz val="10"/>
        <color theme="1"/>
        <rFont val="新細明體"/>
        <family val="1"/>
        <charset val="136"/>
      </rPr>
      <t>有機質肥料施用在表土，易使根圈上移，土壤微生物也無法有效參與分解作用，宜透過中耕操作，使與表土混合。</t>
    </r>
    <phoneticPr fontId="1" type="noConversion"/>
  </si>
  <si>
    <r>
      <rPr>
        <sz val="10"/>
        <color theme="1"/>
        <rFont val="細明體"/>
        <family val="3"/>
        <charset val="136"/>
      </rPr>
      <t>速效性有機質肥料</t>
    </r>
    <r>
      <rPr>
        <sz val="10"/>
        <color theme="1"/>
        <rFont val="Times New Roman"/>
        <family val="1"/>
      </rPr>
      <t>(</t>
    </r>
    <r>
      <rPr>
        <sz val="10"/>
        <color theme="1"/>
        <rFont val="細明體"/>
        <family val="3"/>
        <charset val="136"/>
      </rPr>
      <t>如粕類肥料</t>
    </r>
    <r>
      <rPr>
        <sz val="10"/>
        <color theme="1"/>
        <rFont val="Times New Roman"/>
        <family val="1"/>
      </rPr>
      <t>)</t>
    </r>
    <r>
      <rPr>
        <sz val="10"/>
        <color theme="1"/>
        <rFont val="細明體"/>
        <family val="3"/>
        <charset val="136"/>
      </rPr>
      <t>施用後一定要覆上土壤，以使土壤微生物參與分解作用，另也可避免肥分因雨或其他因素而損失，尤其隨雨水流失而污染水源。</t>
    </r>
    <phoneticPr fontId="1" type="noConversion"/>
  </si>
  <si>
    <r>
      <rPr>
        <sz val="10"/>
        <color theme="1"/>
        <rFont val="細明體"/>
        <family val="3"/>
        <charset val="136"/>
      </rPr>
      <t>雞糞因糞尿同體，所含養分比豬糞或牛糞高。雞糞屬於速效型有機質肥料，氮素約</t>
    </r>
    <r>
      <rPr>
        <sz val="10"/>
        <color theme="1"/>
        <rFont val="Times New Roman"/>
        <family val="1"/>
      </rPr>
      <t>60%</t>
    </r>
    <r>
      <rPr>
        <sz val="10"/>
        <color theme="1"/>
        <rFont val="細明體"/>
        <family val="3"/>
        <charset val="136"/>
      </rPr>
      <t>為尿酸態，少部分為銨態和蛋白質型態，肥效和豆粕類一樣，可當追肥使用。雞糞中的磷約</t>
    </r>
    <r>
      <rPr>
        <sz val="10"/>
        <color theme="1"/>
        <rFont val="Times New Roman"/>
        <family val="1"/>
      </rPr>
      <t>20%</t>
    </r>
    <r>
      <rPr>
        <sz val="10"/>
        <color theme="1"/>
        <rFont val="細明體"/>
        <family val="3"/>
        <charset val="136"/>
      </rPr>
      <t>是水溶性，大部分是緩效性，須經微生物分解後茶樹才能吸收。雞糞呈微鹼性，它的高鈣含量使雞糞不宜在茶園中長期大量使用。蒼蠅喜歡沾食腐敗食物，因此施用生雞糞的地方常會招來大量蒼蠅。由於蒼蠅會停留在茶樹葉片上，同時也將雞糞殘留在茶葉面上，也會把蠅便排泄在葉背上，造成製茶衛生問題，有時還帶來病原菌。施用乾雞糞也會因下雨或灌溉而繼續腐敗發酵，故雞糞應經充分發酵腐熟後才可施用，且施後應行覆土，雞糞肥份才不會流失，也較容易移動到下層土壤供根系吸收利用。</t>
    </r>
    <phoneticPr fontId="1" type="noConversion"/>
  </si>
  <si>
    <r>
      <rPr>
        <sz val="10"/>
        <color theme="1"/>
        <rFont val="細明體"/>
        <family val="3"/>
        <charset val="136"/>
      </rPr>
      <t>牛主要飼料為牧草，糞含多量的鉀；雞飼料以豆穀玉米類為主，糞含磷量較高；豬糞便多尿含氮較高。羊糞緻密，以牧草為主飼料，其糞便含鉀較高。動物糞便須堆積醱酵腐熟後才可在茶園施用，施用後雞糞在土壤中之分解速度最快，歷經</t>
    </r>
    <r>
      <rPr>
        <sz val="10"/>
        <color theme="1"/>
        <rFont val="Times New Roman"/>
        <family val="1"/>
      </rPr>
      <t>2</t>
    </r>
    <r>
      <rPr>
        <sz val="10"/>
        <color theme="1"/>
        <rFont val="細明體"/>
        <family val="3"/>
        <charset val="136"/>
      </rPr>
      <t xml:space="preserve">個月後約有一半之雞糞已分解，豬糞次之，牛糞最為緩慢。其他動植物之有機質肥料如血液、魚粉、廢羽毛、乾肉粉、蹄角粉、氮質海鳥糞等皆含高氮量，而骨粉、磷質海鳥糞則含較高之磷鈣肥。
</t>
    </r>
    <phoneticPr fontId="1" type="noConversion"/>
  </si>
  <si>
    <t>Main Branch 6, Secondary Branch 3: Chemical Fertilizer Usage Diagnosis</t>
    <phoneticPr fontId="1" type="noConversion"/>
  </si>
  <si>
    <r>
      <rPr>
        <sz val="10"/>
        <color rgb="FFFF0000"/>
        <rFont val="細明體"/>
        <family val="3"/>
        <charset val="136"/>
      </rPr>
      <t>化學肥料使用方式是否正確</t>
    </r>
    <phoneticPr fontId="1" type="noConversion"/>
  </si>
  <si>
    <t>Q6301</t>
    <phoneticPr fontId="1" type="noConversion"/>
  </si>
  <si>
    <t>#6302</t>
    <phoneticPr fontId="1" type="noConversion"/>
  </si>
  <si>
    <r>
      <rPr>
        <sz val="10"/>
        <rFont val="細明體"/>
        <family val="3"/>
        <charset val="136"/>
      </rPr>
      <t>施用化學肥料？</t>
    </r>
    <phoneticPr fontId="1" type="noConversion"/>
  </si>
  <si>
    <r>
      <rPr>
        <sz val="10"/>
        <color theme="1"/>
        <rFont val="細明體"/>
        <family val="3"/>
        <charset val="136"/>
      </rPr>
      <t>三要素施用量與株齡和土壤有機質含量對照表</t>
    </r>
    <phoneticPr fontId="1" type="noConversion"/>
  </si>
  <si>
    <t>#6303</t>
    <phoneticPr fontId="1" type="noConversion"/>
  </si>
  <si>
    <t>Answer-14</t>
    <phoneticPr fontId="1" type="noConversion"/>
  </si>
  <si>
    <r>
      <rPr>
        <sz val="10"/>
        <color theme="1"/>
        <rFont val="新細明體"/>
        <family val="1"/>
        <charset val="136"/>
      </rPr>
      <t>肥料用量應依據樹齡和生長狀況調整。</t>
    </r>
    <phoneticPr fontId="1" type="noConversion"/>
  </si>
  <si>
    <r>
      <rPr>
        <sz val="10"/>
        <color theme="1"/>
        <rFont val="細明體"/>
        <family val="3"/>
        <charset val="136"/>
      </rPr>
      <t>依據樹齡和生長狀況調整肥料用量。
基肥：台肥生技</t>
    </r>
    <r>
      <rPr>
        <sz val="10"/>
        <color theme="1"/>
        <rFont val="Times New Roman"/>
        <family val="1"/>
      </rPr>
      <t>1(3)</t>
    </r>
    <r>
      <rPr>
        <sz val="10"/>
        <color theme="1"/>
        <rFont val="細明體"/>
        <family val="3"/>
        <charset val="136"/>
      </rPr>
      <t>號有機質肥料</t>
    </r>
    <r>
      <rPr>
        <sz val="10"/>
        <color theme="1"/>
        <rFont val="Times New Roman"/>
        <family val="1"/>
      </rPr>
      <t>160</t>
    </r>
    <r>
      <rPr>
        <sz val="10"/>
        <color theme="1"/>
        <rFont val="細明體"/>
        <family val="3"/>
        <charset val="136"/>
      </rPr>
      <t>公斤</t>
    </r>
    <r>
      <rPr>
        <sz val="10"/>
        <color theme="1"/>
        <rFont val="Times New Roman"/>
        <family val="1"/>
      </rPr>
      <t>/</t>
    </r>
    <r>
      <rPr>
        <sz val="10"/>
        <color theme="1"/>
        <rFont val="細明體"/>
        <family val="3"/>
        <charset val="136"/>
      </rPr>
      <t>分地或台肥寶效</t>
    </r>
    <r>
      <rPr>
        <sz val="10"/>
        <color theme="1"/>
        <rFont val="Times New Roman"/>
        <family val="1"/>
      </rPr>
      <t>42</t>
    </r>
    <r>
      <rPr>
        <sz val="10"/>
        <color theme="1"/>
        <rFont val="細明體"/>
        <family val="3"/>
        <charset val="136"/>
      </rPr>
      <t>號複肥</t>
    </r>
    <r>
      <rPr>
        <sz val="10"/>
        <color theme="1"/>
        <rFont val="Times New Roman"/>
        <family val="1"/>
      </rPr>
      <t>40</t>
    </r>
    <r>
      <rPr>
        <sz val="10"/>
        <color theme="1"/>
        <rFont val="細明體"/>
        <family val="3"/>
        <charset val="136"/>
      </rPr>
      <t>公斤</t>
    </r>
    <r>
      <rPr>
        <sz val="10"/>
        <color theme="1"/>
        <rFont val="Times New Roman"/>
        <family val="1"/>
      </rPr>
      <t>/</t>
    </r>
    <r>
      <rPr>
        <sz val="10"/>
        <color theme="1"/>
        <rFont val="細明體"/>
        <family val="3"/>
        <charset val="136"/>
      </rPr>
      <t>分地，春芽萌發前約</t>
    </r>
    <r>
      <rPr>
        <sz val="10"/>
        <color theme="1"/>
        <rFont val="Times New Roman"/>
        <family val="1"/>
      </rPr>
      <t>1-2</t>
    </r>
    <r>
      <rPr>
        <sz val="10"/>
        <color theme="1"/>
        <rFont val="細明體"/>
        <family val="3"/>
        <charset val="136"/>
      </rPr>
      <t>週，離茶樹主幹約</t>
    </r>
    <r>
      <rPr>
        <sz val="10"/>
        <color theme="1"/>
        <rFont val="Times New Roman"/>
        <family val="1"/>
      </rPr>
      <t>20-30</t>
    </r>
    <r>
      <rPr>
        <sz val="10"/>
        <color theme="1"/>
        <rFont val="細明體"/>
        <family val="3"/>
        <charset val="136"/>
      </rPr>
      <t>公分處，開溝條施後覆土。
追肥：台肥寶效</t>
    </r>
    <r>
      <rPr>
        <sz val="10"/>
        <color theme="1"/>
        <rFont val="Times New Roman"/>
        <family val="1"/>
      </rPr>
      <t>42</t>
    </r>
    <r>
      <rPr>
        <sz val="10"/>
        <color theme="1"/>
        <rFont val="細明體"/>
        <family val="3"/>
        <charset val="136"/>
      </rPr>
      <t>號複肥</t>
    </r>
    <r>
      <rPr>
        <sz val="10"/>
        <color theme="1"/>
        <rFont val="Times New Roman"/>
        <family val="1"/>
      </rPr>
      <t>40</t>
    </r>
    <r>
      <rPr>
        <sz val="10"/>
        <color theme="1"/>
        <rFont val="細明體"/>
        <family val="3"/>
        <charset val="136"/>
      </rPr>
      <t>公斤</t>
    </r>
    <r>
      <rPr>
        <sz val="10"/>
        <color theme="1"/>
        <rFont val="Times New Roman"/>
        <family val="1"/>
      </rPr>
      <t>/</t>
    </r>
    <r>
      <rPr>
        <sz val="10"/>
        <color theme="1"/>
        <rFont val="細明體"/>
        <family val="3"/>
        <charset val="136"/>
      </rPr>
      <t>分地</t>
    </r>
    <r>
      <rPr>
        <sz val="10"/>
        <color theme="1"/>
        <rFont val="Times New Roman"/>
        <family val="1"/>
      </rPr>
      <t>/</t>
    </r>
    <r>
      <rPr>
        <sz val="10"/>
        <color theme="1"/>
        <rFont val="細明體"/>
        <family val="3"/>
        <charset val="136"/>
      </rPr>
      <t>每次，採茶</t>
    </r>
    <r>
      <rPr>
        <sz val="10"/>
        <color theme="1"/>
        <rFont val="Times New Roman"/>
        <family val="1"/>
      </rPr>
      <t>(</t>
    </r>
    <r>
      <rPr>
        <sz val="10"/>
        <color theme="1"/>
        <rFont val="細明體"/>
        <family val="3"/>
        <charset val="136"/>
      </rPr>
      <t>修剪</t>
    </r>
    <r>
      <rPr>
        <sz val="10"/>
        <color theme="1"/>
        <rFont val="Times New Roman"/>
        <family val="1"/>
      </rPr>
      <t>)</t>
    </r>
    <r>
      <rPr>
        <sz val="10"/>
        <color theme="1"/>
        <rFont val="細明體"/>
        <family val="3"/>
        <charset val="136"/>
      </rPr>
      <t>後，條施。
葉面肥：台肥</t>
    </r>
    <r>
      <rPr>
        <sz val="10"/>
        <color theme="1"/>
        <rFont val="Times New Roman"/>
        <family val="1"/>
      </rPr>
      <t>1</t>
    </r>
    <r>
      <rPr>
        <sz val="10"/>
        <color theme="1"/>
        <rFont val="細明體"/>
        <family val="3"/>
        <charset val="136"/>
      </rPr>
      <t>號即溶複肥</t>
    </r>
    <r>
      <rPr>
        <sz val="10"/>
        <color theme="1"/>
        <rFont val="Times New Roman"/>
        <family val="1"/>
      </rPr>
      <t>0.3</t>
    </r>
    <r>
      <rPr>
        <sz val="10"/>
        <color theme="1"/>
        <rFont val="細明體"/>
        <family val="3"/>
        <charset val="136"/>
      </rPr>
      <t>公斤</t>
    </r>
    <r>
      <rPr>
        <sz val="10"/>
        <color theme="1"/>
        <rFont val="Times New Roman"/>
        <family val="1"/>
      </rPr>
      <t>/</t>
    </r>
    <r>
      <rPr>
        <sz val="10"/>
        <color theme="1"/>
        <rFont val="細明體"/>
        <family val="3"/>
        <charset val="136"/>
      </rPr>
      <t>分地</t>
    </r>
    <r>
      <rPr>
        <sz val="10"/>
        <color theme="1"/>
        <rFont val="Times New Roman"/>
        <family val="1"/>
      </rPr>
      <t>/</t>
    </r>
    <r>
      <rPr>
        <sz val="10"/>
        <color theme="1"/>
        <rFont val="細明體"/>
        <family val="3"/>
        <charset val="136"/>
      </rPr>
      <t>每次或活力生技營養劑</t>
    </r>
    <r>
      <rPr>
        <sz val="10"/>
        <color theme="1"/>
        <rFont val="Times New Roman"/>
        <family val="1"/>
      </rPr>
      <t>1</t>
    </r>
    <r>
      <rPr>
        <sz val="10"/>
        <color theme="1"/>
        <rFont val="細明體"/>
        <family val="3"/>
        <charset val="136"/>
      </rPr>
      <t>號</t>
    </r>
    <r>
      <rPr>
        <sz val="10"/>
        <color theme="1"/>
        <rFont val="Times New Roman"/>
        <family val="1"/>
      </rPr>
      <t>0.8</t>
    </r>
    <r>
      <rPr>
        <sz val="10"/>
        <color theme="1"/>
        <rFont val="細明體"/>
        <family val="3"/>
        <charset val="136"/>
      </rPr>
      <t>公斤</t>
    </r>
    <r>
      <rPr>
        <sz val="10"/>
        <color theme="1"/>
        <rFont val="Times New Roman"/>
        <family val="1"/>
      </rPr>
      <t>/</t>
    </r>
    <r>
      <rPr>
        <sz val="10"/>
        <color theme="1"/>
        <rFont val="細明體"/>
        <family val="3"/>
        <charset val="136"/>
      </rPr>
      <t>分地</t>
    </r>
    <r>
      <rPr>
        <sz val="10"/>
        <color theme="1"/>
        <rFont val="Times New Roman"/>
        <family val="1"/>
      </rPr>
      <t>/</t>
    </r>
    <r>
      <rPr>
        <sz val="10"/>
        <color theme="1"/>
        <rFont val="細明體"/>
        <family val="3"/>
        <charset val="136"/>
      </rPr>
      <t>每次，春芽萌發後及採茶後，約</t>
    </r>
    <r>
      <rPr>
        <sz val="10"/>
        <color theme="1"/>
        <rFont val="Times New Roman"/>
        <family val="1"/>
      </rPr>
      <t>1-2</t>
    </r>
    <r>
      <rPr>
        <sz val="10"/>
        <color theme="1"/>
        <rFont val="細明體"/>
        <family val="3"/>
        <charset val="136"/>
      </rPr>
      <t>週稀釋約</t>
    </r>
    <r>
      <rPr>
        <sz val="10"/>
        <color theme="1"/>
        <rFont val="Times New Roman"/>
        <family val="1"/>
      </rPr>
      <t>500</t>
    </r>
    <r>
      <rPr>
        <sz val="10"/>
        <color theme="1"/>
        <rFont val="細明體"/>
        <family val="3"/>
        <charset val="136"/>
      </rPr>
      <t>倍噴灌施</t>
    </r>
    <r>
      <rPr>
        <sz val="10"/>
        <color theme="1"/>
        <rFont val="Times New Roman"/>
        <family val="1"/>
      </rPr>
      <t>1</t>
    </r>
    <r>
      <rPr>
        <sz val="10"/>
        <color theme="1"/>
        <rFont val="細明體"/>
        <family val="3"/>
        <charset val="136"/>
      </rPr>
      <t>次，可配合營養劑施用。茶菁採收前二週，停止使用活力生技營養。</t>
    </r>
    <phoneticPr fontId="1" type="noConversion"/>
  </si>
  <si>
    <r>
      <rPr>
        <sz val="10"/>
        <color theme="1"/>
        <rFont val="細明體"/>
        <family val="3"/>
        <charset val="136"/>
      </rPr>
      <t>追肥：佔年施肥量的</t>
    </r>
    <r>
      <rPr>
        <sz val="10"/>
        <color theme="1"/>
        <rFont val="Times New Roman"/>
        <family val="1"/>
      </rPr>
      <t>60%</t>
    </r>
    <r>
      <rPr>
        <sz val="10"/>
        <color theme="1"/>
        <rFont val="細明體"/>
        <family val="3"/>
        <charset val="136"/>
      </rPr>
      <t>，分春夏秋</t>
    </r>
    <r>
      <rPr>
        <sz val="10"/>
        <color theme="1"/>
        <rFont val="Times New Roman"/>
        <family val="1"/>
      </rPr>
      <t>3</t>
    </r>
    <r>
      <rPr>
        <sz val="10"/>
        <color theme="1"/>
        <rFont val="細明體"/>
        <family val="3"/>
        <charset val="136"/>
      </rPr>
      <t>次施用；按春</t>
    </r>
    <r>
      <rPr>
        <sz val="10"/>
        <color theme="1"/>
        <rFont val="Times New Roman"/>
        <family val="1"/>
      </rPr>
      <t>(</t>
    </r>
    <r>
      <rPr>
        <sz val="10"/>
        <color theme="1"/>
        <rFont val="細明體"/>
        <family val="3"/>
        <charset val="136"/>
      </rPr>
      <t>春茶前</t>
    </r>
    <r>
      <rPr>
        <sz val="10"/>
        <color theme="1"/>
        <rFont val="Times New Roman"/>
        <family val="1"/>
      </rPr>
      <t>1</t>
    </r>
    <r>
      <rPr>
        <sz val="10"/>
        <color theme="1"/>
        <rFont val="細明體"/>
        <family val="3"/>
        <charset val="136"/>
      </rPr>
      <t>個月</t>
    </r>
    <r>
      <rPr>
        <sz val="10"/>
        <color theme="1"/>
        <rFont val="Times New Roman"/>
        <family val="1"/>
      </rPr>
      <t>)</t>
    </r>
    <r>
      <rPr>
        <sz val="10"/>
        <color theme="1"/>
        <rFont val="細明體"/>
        <family val="3"/>
        <charset val="136"/>
      </rPr>
      <t>夏</t>
    </r>
    <r>
      <rPr>
        <sz val="10"/>
        <color theme="1"/>
        <rFont val="Times New Roman"/>
        <family val="1"/>
      </rPr>
      <t>(</t>
    </r>
    <r>
      <rPr>
        <sz val="10"/>
        <color theme="1"/>
        <rFont val="細明體"/>
        <family val="3"/>
        <charset val="136"/>
      </rPr>
      <t>春茶後</t>
    </r>
    <r>
      <rPr>
        <sz val="10"/>
        <color theme="1"/>
        <rFont val="Times New Roman"/>
        <family val="1"/>
      </rPr>
      <t>1</t>
    </r>
    <r>
      <rPr>
        <sz val="10"/>
        <color theme="1"/>
        <rFont val="細明體"/>
        <family val="3"/>
        <charset val="136"/>
      </rPr>
      <t>個月</t>
    </r>
    <r>
      <rPr>
        <sz val="10"/>
        <color theme="1"/>
        <rFont val="Times New Roman"/>
        <family val="1"/>
      </rPr>
      <t>)</t>
    </r>
    <r>
      <rPr>
        <sz val="10"/>
        <color theme="1"/>
        <rFont val="細明體"/>
        <family val="3"/>
        <charset val="136"/>
      </rPr>
      <t>秋</t>
    </r>
    <r>
      <rPr>
        <sz val="10"/>
        <color theme="1"/>
        <rFont val="Times New Roman"/>
        <family val="1"/>
      </rPr>
      <t>(</t>
    </r>
    <r>
      <rPr>
        <sz val="10"/>
        <color theme="1"/>
        <rFont val="細明體"/>
        <family val="3"/>
        <charset val="136"/>
      </rPr>
      <t>夏茶後</t>
    </r>
    <r>
      <rPr>
        <sz val="10"/>
        <color theme="1"/>
        <rFont val="Times New Roman"/>
        <family val="1"/>
      </rPr>
      <t>)</t>
    </r>
    <r>
      <rPr>
        <sz val="10"/>
        <color theme="1"/>
        <rFont val="細明體"/>
        <family val="3"/>
        <charset val="136"/>
      </rPr>
      <t>三季施用，分配比約為</t>
    </r>
    <r>
      <rPr>
        <sz val="10"/>
        <color theme="1"/>
        <rFont val="Times New Roman"/>
        <family val="1"/>
      </rPr>
      <t>4:3:3</t>
    </r>
    <r>
      <rPr>
        <sz val="10"/>
        <color theme="1"/>
        <rFont val="細明體"/>
        <family val="3"/>
        <charset val="136"/>
      </rPr>
      <t>或</t>
    </r>
    <r>
      <rPr>
        <sz val="10"/>
        <color theme="1"/>
        <rFont val="Times New Roman"/>
        <family val="1"/>
      </rPr>
      <t>5:2:3</t>
    </r>
    <r>
      <rPr>
        <sz val="10"/>
        <color theme="1"/>
        <rFont val="細明體"/>
        <family val="3"/>
        <charset val="136"/>
      </rPr>
      <t>。
基肥：佔年施肥量的</t>
    </r>
    <r>
      <rPr>
        <sz val="10"/>
        <color theme="1"/>
        <rFont val="Times New Roman"/>
        <family val="1"/>
      </rPr>
      <t>40%</t>
    </r>
    <r>
      <rPr>
        <sz val="10"/>
        <color theme="1"/>
        <rFont val="細明體"/>
        <family val="3"/>
        <charset val="136"/>
      </rPr>
      <t>，每年冬季在茶樹地上部停止生長後施用。
春肥</t>
    </r>
    <r>
      <rPr>
        <sz val="10"/>
        <color theme="1"/>
        <rFont val="Times New Roman"/>
        <family val="1"/>
      </rPr>
      <t>(2</t>
    </r>
    <r>
      <rPr>
        <sz val="10"/>
        <color theme="1"/>
        <rFont val="細明體"/>
        <family val="3"/>
        <charset val="136"/>
      </rPr>
      <t>月</t>
    </r>
    <r>
      <rPr>
        <sz val="10"/>
        <color theme="1"/>
        <rFont val="Times New Roman"/>
        <family val="1"/>
      </rPr>
      <t>)</t>
    </r>
    <r>
      <rPr>
        <sz val="10"/>
        <color theme="1"/>
        <rFont val="細明體"/>
        <family val="3"/>
        <charset val="136"/>
      </rPr>
      <t>、秋肥</t>
    </r>
    <r>
      <rPr>
        <sz val="10"/>
        <color theme="1"/>
        <rFont val="Times New Roman"/>
        <family val="1"/>
      </rPr>
      <t>(7~8)</t>
    </r>
    <r>
      <rPr>
        <sz val="10"/>
        <color theme="1"/>
        <rFont val="細明體"/>
        <family val="3"/>
        <charset val="136"/>
      </rPr>
      <t>月及冬肥</t>
    </r>
    <r>
      <rPr>
        <sz val="10"/>
        <color theme="1"/>
        <rFont val="Times New Roman"/>
        <family val="1"/>
      </rPr>
      <t>(9~10)</t>
    </r>
    <r>
      <rPr>
        <sz val="10"/>
        <color theme="1"/>
        <rFont val="細明體"/>
        <family val="3"/>
        <charset val="136"/>
      </rPr>
      <t>月
早春第一次追肥又叫做催芽肥。這是在茶園全年三四次追肥中最重要的一次。時間一般在</t>
    </r>
    <r>
      <rPr>
        <sz val="10"/>
        <color theme="1"/>
        <rFont val="Times New Roman"/>
        <family val="1"/>
      </rPr>
      <t>2</t>
    </r>
    <r>
      <rPr>
        <sz val="10"/>
        <color theme="1"/>
        <rFont val="細明體"/>
        <family val="3"/>
        <charset val="136"/>
      </rPr>
      <t>月中下旬到</t>
    </r>
    <r>
      <rPr>
        <sz val="10"/>
        <color theme="1"/>
        <rFont val="Times New Roman"/>
        <family val="1"/>
      </rPr>
      <t>3</t>
    </r>
    <r>
      <rPr>
        <sz val="10"/>
        <color theme="1"/>
        <rFont val="細明體"/>
        <family val="3"/>
        <charset val="136"/>
      </rPr>
      <t>月上旬左右。像四川、貴州等一些茶園開採時間較早的，可以提前追肥。第二次追肥在春茶採摘基本接近結束的時候，也就是在</t>
    </r>
    <r>
      <rPr>
        <sz val="10"/>
        <color theme="1"/>
        <rFont val="Times New Roman"/>
        <family val="1"/>
      </rPr>
      <t>5</t>
    </r>
    <r>
      <rPr>
        <sz val="10"/>
        <color theme="1"/>
        <rFont val="細明體"/>
        <family val="3"/>
        <charset val="136"/>
      </rPr>
      <t>月下旬前完成追肥。第三次追肥，一般在</t>
    </r>
    <r>
      <rPr>
        <sz val="10"/>
        <color theme="1"/>
        <rFont val="Times New Roman"/>
        <family val="1"/>
      </rPr>
      <t>7~8</t>
    </r>
    <r>
      <rPr>
        <sz val="10"/>
        <color theme="1"/>
        <rFont val="細明體"/>
        <family val="3"/>
        <charset val="136"/>
      </rPr>
      <t>月份，秋茶開採前。當然如果有需要，前面也提到過了，還可以進行第四次追肥。
基肥施用的原則是宜早不宜晚，在茶樹地上部分停止生長以後即可開始。</t>
    </r>
    <phoneticPr fontId="1" type="noConversion"/>
  </si>
  <si>
    <t>#6304</t>
    <phoneticPr fontId="1" type="noConversion"/>
  </si>
  <si>
    <r>
      <rPr>
        <sz val="10"/>
        <color theme="1"/>
        <rFont val="細明體"/>
        <family val="3"/>
        <charset val="136"/>
      </rPr>
      <t>化學肥料比例不正確。</t>
    </r>
    <phoneticPr fontId="1" type="noConversion"/>
  </si>
  <si>
    <r>
      <rPr>
        <sz val="10"/>
        <color theme="1"/>
        <rFont val="新細明體"/>
        <family val="1"/>
        <charset val="136"/>
      </rPr>
      <t>幼年期</t>
    </r>
    <r>
      <rPr>
        <sz val="10"/>
        <color theme="1"/>
        <rFont val="Times New Roman"/>
        <family val="1"/>
      </rPr>
      <t>(1-3</t>
    </r>
    <r>
      <rPr>
        <sz val="10"/>
        <color theme="1"/>
        <rFont val="新細明體"/>
        <family val="1"/>
        <charset val="136"/>
      </rPr>
      <t>年生</t>
    </r>
    <r>
      <rPr>
        <sz val="10"/>
        <color theme="1"/>
        <rFont val="Times New Roman"/>
        <family val="1"/>
      </rPr>
      <t>)</t>
    </r>
    <r>
      <rPr>
        <sz val="10"/>
        <color theme="1"/>
        <rFont val="新細明體"/>
        <family val="1"/>
        <charset val="136"/>
      </rPr>
      <t>：適當提高磷鉀比例可促進根系生長，利於後續高產、穩產和品質，三要素比</t>
    </r>
    <r>
      <rPr>
        <sz val="10"/>
        <color theme="1"/>
        <rFont val="Times New Roman"/>
        <family val="1"/>
      </rPr>
      <t>1:1:1</t>
    </r>
    <r>
      <rPr>
        <sz val="10"/>
        <color theme="1"/>
        <rFont val="新細明體"/>
        <family val="1"/>
        <charset val="136"/>
      </rPr>
      <t>。寶效</t>
    </r>
    <r>
      <rPr>
        <sz val="10"/>
        <color theme="1"/>
        <rFont val="Times New Roman"/>
        <family val="1"/>
      </rPr>
      <t>43</t>
    </r>
    <r>
      <rPr>
        <sz val="10"/>
        <color theme="1"/>
        <rFont val="新細明體"/>
        <family val="1"/>
        <charset val="136"/>
      </rPr>
      <t>號有機質複合肥料：</t>
    </r>
    <r>
      <rPr>
        <sz val="10"/>
        <color theme="1"/>
        <rFont val="Times New Roman"/>
        <family val="1"/>
      </rPr>
      <t>15:15:15:3:50(MgO, OM)</t>
    </r>
    <r>
      <rPr>
        <sz val="10"/>
        <color theme="1"/>
        <rFont val="新細明體"/>
        <family val="1"/>
        <charset val="136"/>
      </rPr>
      <t>。硝磷基黑旺特</t>
    </r>
    <r>
      <rPr>
        <sz val="10"/>
        <color theme="1"/>
        <rFont val="Times New Roman"/>
        <family val="1"/>
      </rPr>
      <t>43</t>
    </r>
    <r>
      <rPr>
        <sz val="10"/>
        <color theme="1"/>
        <rFont val="新細明體"/>
        <family val="1"/>
        <charset val="136"/>
      </rPr>
      <t>號：</t>
    </r>
    <r>
      <rPr>
        <sz val="10"/>
        <color theme="1"/>
        <rFont val="Times New Roman"/>
        <family val="1"/>
      </rPr>
      <t>15:15:15:4:50(MgO, OM)</t>
    </r>
    <r>
      <rPr>
        <sz val="10"/>
        <color theme="1"/>
        <rFont val="新細明體"/>
        <family val="1"/>
        <charset val="136"/>
      </rPr>
      <t>。
青年期</t>
    </r>
    <r>
      <rPr>
        <sz val="10"/>
        <color theme="1"/>
        <rFont val="Times New Roman"/>
        <family val="1"/>
      </rPr>
      <t>(4-6</t>
    </r>
    <r>
      <rPr>
        <sz val="10"/>
        <color theme="1"/>
        <rFont val="新細明體"/>
        <family val="1"/>
        <charset val="136"/>
      </rPr>
      <t>年生</t>
    </r>
    <r>
      <rPr>
        <sz val="10"/>
        <color theme="1"/>
        <rFont val="Times New Roman"/>
        <family val="1"/>
      </rPr>
      <t>)</t>
    </r>
    <r>
      <rPr>
        <sz val="10"/>
        <color theme="1"/>
        <rFont val="新細明體"/>
        <family val="1"/>
        <charset val="136"/>
      </rPr>
      <t>：生長旺盛，吸收力強，對氮的需求增高，三要素比</t>
    </r>
    <r>
      <rPr>
        <sz val="10"/>
        <color theme="1"/>
        <rFont val="Times New Roman"/>
        <family val="1"/>
      </rPr>
      <t>2:1:1</t>
    </r>
    <r>
      <rPr>
        <sz val="10"/>
        <color theme="1"/>
        <rFont val="新細明體"/>
        <family val="1"/>
        <charset val="136"/>
      </rPr>
      <t>。台肥</t>
    </r>
    <r>
      <rPr>
        <sz val="10"/>
        <color theme="1"/>
        <rFont val="Times New Roman"/>
        <family val="1"/>
      </rPr>
      <t>1</t>
    </r>
    <r>
      <rPr>
        <sz val="10"/>
        <color theme="1"/>
        <rFont val="新細明體"/>
        <family val="1"/>
        <charset val="136"/>
      </rPr>
      <t>號即溶複肥：</t>
    </r>
    <r>
      <rPr>
        <sz val="10"/>
        <color theme="1"/>
        <rFont val="Times New Roman"/>
        <family val="1"/>
      </rPr>
      <t>26:13:13</t>
    </r>
    <r>
      <rPr>
        <sz val="10"/>
        <color theme="1"/>
        <rFont val="新細明體"/>
        <family val="1"/>
        <charset val="136"/>
      </rPr>
      <t>。
成年期：為避免茶樹開花結果，三要素比</t>
    </r>
    <r>
      <rPr>
        <sz val="10"/>
        <color theme="1"/>
        <rFont val="Times New Roman"/>
        <family val="1"/>
      </rPr>
      <t>5:1:2</t>
    </r>
    <r>
      <rPr>
        <sz val="10"/>
        <color theme="1"/>
        <rFont val="新細明體"/>
        <family val="1"/>
        <charset val="136"/>
      </rPr>
      <t>。硝磷基黑旺特</t>
    </r>
    <r>
      <rPr>
        <sz val="10"/>
        <color theme="1"/>
        <rFont val="Times New Roman"/>
        <family val="1"/>
      </rPr>
      <t>1</t>
    </r>
    <r>
      <rPr>
        <sz val="10"/>
        <color theme="1"/>
        <rFont val="新細明體"/>
        <family val="1"/>
        <charset val="136"/>
      </rPr>
      <t>號：</t>
    </r>
    <r>
      <rPr>
        <sz val="10"/>
        <color theme="1"/>
        <rFont val="Times New Roman"/>
        <family val="1"/>
      </rPr>
      <t>25:5:10:60(OM)</t>
    </r>
    <r>
      <rPr>
        <sz val="10"/>
        <color theme="1"/>
        <rFont val="新細明體"/>
        <family val="1"/>
        <charset val="136"/>
      </rPr>
      <t>。寶效</t>
    </r>
    <r>
      <rPr>
        <sz val="10"/>
        <color theme="1"/>
        <rFont val="Times New Roman"/>
        <family val="1"/>
      </rPr>
      <t>42</t>
    </r>
    <r>
      <rPr>
        <sz val="10"/>
        <color theme="1"/>
        <rFont val="新細明體"/>
        <family val="1"/>
        <charset val="136"/>
      </rPr>
      <t>號有機質複合肥料：</t>
    </r>
    <r>
      <rPr>
        <sz val="10"/>
        <color theme="1"/>
        <rFont val="Times New Roman"/>
        <family val="1"/>
      </rPr>
      <t>23:5:5:3:65(MgO, OM)</t>
    </r>
    <r>
      <rPr>
        <sz val="10"/>
        <color theme="1"/>
        <rFont val="新細明體"/>
        <family val="1"/>
        <charset val="136"/>
      </rPr>
      <t>。</t>
    </r>
    <phoneticPr fontId="1" type="noConversion"/>
  </si>
  <si>
    <r>
      <rPr>
        <sz val="10"/>
        <color theme="1"/>
        <rFont val="細明體"/>
        <family val="3"/>
        <charset val="136"/>
      </rPr>
      <t>依據樹齡和生長狀況調整肥料三要素比例。</t>
    </r>
    <phoneticPr fontId="1" type="noConversion"/>
  </si>
  <si>
    <r>
      <rPr>
        <sz val="10"/>
        <color theme="1"/>
        <rFont val="細明體"/>
        <family val="3"/>
        <charset val="136"/>
      </rPr>
      <t>春季春茶採摘前後，應該以施用氮肥為主，以提高茶葉中胺基酸的含量，提升春茶品質。
八月到九月份，夏茶已經採摘完畢，此時為了茶樹來年生長，應該加大磷肥的投入量。
每年的十月份到次年三月份，茶樹進入休眠期，但茶樹的根部仍然在吸收並貯存土壤中的營養元素。在這個時期，重施基肥可以提前使得來年春茶發芽，也可以提高春茶茶葉品質。
想要春茶早發、搶占市場，除了要重視基肥外，還要早施催芽肥。施肥的時間一般選擇在每年二月下旬到三月上旬，具體需要根據茶樹品種和氣溫進行時間選擇：氣溫高、發芽早的茶樹品種要提前施肥，反之則延遲施肥時間。
如果茶園採摘夏茶和秋茶，則需要施好夏秋追肥以滿足夏秋茶對營養物質的需求。一般在采完春茶和夏茶後需要立即進行追肥，夏肥時間以五月下旬為宜，秋茶施肥則需要避開「伏旱」天氣，以免肥料灼傷茶樹。</t>
    </r>
    <phoneticPr fontId="1" type="noConversion"/>
  </si>
  <si>
    <t>Q6304</t>
    <phoneticPr fontId="1" type="noConversion"/>
  </si>
  <si>
    <t>#6305</t>
    <phoneticPr fontId="1" type="noConversion"/>
  </si>
  <si>
    <r>
      <rPr>
        <sz val="10"/>
        <color theme="1"/>
        <rFont val="細明體"/>
        <family val="3"/>
        <charset val="136"/>
      </rPr>
      <t>化學肥料未掩埋入土。</t>
    </r>
    <phoneticPr fontId="1" type="noConversion"/>
  </si>
  <si>
    <r>
      <rPr>
        <sz val="10"/>
        <color theme="1"/>
        <rFont val="新細明體"/>
        <family val="1"/>
        <charset val="136"/>
      </rPr>
      <t>化學肥料易溶解，通常不易觀察到，但若未中耕或有機質肥料仍留在地表，可合理假設化學肥料施用後並未掩埋入土。
肥料施用在表土，易使根圈上移，宜透過中耕操作，使與表土混合。</t>
    </r>
    <phoneticPr fontId="1" type="noConversion"/>
  </si>
  <si>
    <r>
      <rPr>
        <sz val="10"/>
        <color theme="1"/>
        <rFont val="細明體"/>
        <family val="3"/>
        <charset val="136"/>
      </rPr>
      <t>施用後一定要覆上土壤，以避免因雨或其他因素而損失，尤其隨雨水流失而污染水源。</t>
    </r>
    <phoneticPr fontId="1" type="noConversion"/>
  </si>
  <si>
    <t>#6300</t>
    <phoneticPr fontId="1" type="noConversion"/>
  </si>
  <si>
    <t>Answer-16</t>
    <phoneticPr fontId="1" type="noConversion"/>
  </si>
  <si>
    <r>
      <rPr>
        <sz val="10"/>
        <color theme="1"/>
        <rFont val="新細明體"/>
        <family val="1"/>
        <charset val="136"/>
      </rPr>
      <t>紅土原本微量元素就少，若多年未補充微量元素，容易有微量元素缺乏。</t>
    </r>
    <phoneticPr fontId="1" type="noConversion"/>
  </si>
  <si>
    <r>
      <rPr>
        <sz val="10"/>
        <color theme="1"/>
        <rFont val="細明體"/>
        <family val="3"/>
        <charset val="136"/>
      </rPr>
      <t>新芽</t>
    </r>
    <r>
      <rPr>
        <sz val="10"/>
        <color theme="1"/>
        <rFont val="Times New Roman"/>
        <family val="1"/>
      </rPr>
      <t>(</t>
    </r>
    <r>
      <rPr>
        <sz val="10"/>
        <color theme="1"/>
        <rFont val="細明體"/>
        <family val="3"/>
        <charset val="136"/>
      </rPr>
      <t>葉</t>
    </r>
    <r>
      <rPr>
        <sz val="10"/>
        <color theme="1"/>
        <rFont val="Times New Roman"/>
        <family val="1"/>
      </rPr>
      <t>)</t>
    </r>
    <r>
      <rPr>
        <sz val="10"/>
        <color theme="1"/>
        <rFont val="細明體"/>
        <family val="3"/>
        <charset val="136"/>
      </rPr>
      <t>正在萌發時，以葉面施肥方式補充微量元素。</t>
    </r>
    <phoneticPr fontId="1" type="noConversion"/>
  </si>
  <si>
    <t>end of diagnosis</t>
    <phoneticPr fontId="1" type="noConversion"/>
  </si>
  <si>
    <t>很可能缺乏微量元素。</t>
    <phoneticPr fontId="1" type="noConversion"/>
  </si>
  <si>
    <t>或許仍缺乏微量元素。</t>
    <phoneticPr fontId="1" type="noConversion"/>
  </si>
  <si>
    <t>Answer-17</t>
    <phoneticPr fontId="1" type="noConversion"/>
  </si>
  <si>
    <t>Tea trees are less than 15 years old in this plantation ?</t>
    <phoneticPr fontId="1" type="noConversion"/>
  </si>
  <si>
    <r>
      <rPr>
        <sz val="10"/>
        <color theme="1"/>
        <rFont val="新細明體"/>
        <family val="1"/>
        <charset val="136"/>
      </rPr>
      <t>樹齡</t>
    </r>
    <r>
      <rPr>
        <sz val="10"/>
        <color theme="1"/>
        <rFont val="Times New Roman"/>
        <family val="1"/>
      </rPr>
      <t>15</t>
    </r>
    <r>
      <rPr>
        <sz val="10"/>
        <color theme="1"/>
        <rFont val="新細明體"/>
        <family val="1"/>
        <charset val="136"/>
      </rPr>
      <t>年內茶園？</t>
    </r>
    <phoneticPr fontId="1" type="noConversion"/>
  </si>
  <si>
    <t>Poor Growth / Yield Diagnosis?</t>
  </si>
  <si>
    <t>局部或整園茶樹生長/產量不佳？</t>
  </si>
  <si>
    <t>Soil pH &lt; 4 ?</t>
  </si>
  <si>
    <t>土壤pH &lt; 4 ?</t>
  </si>
  <si>
    <t>Soil pH &gt; 7 ?</t>
  </si>
  <si>
    <t>土壤pH &gt; 7？</t>
  </si>
  <si>
    <t>ECe &lt; 0.2 dS m-1 ?</t>
  </si>
  <si>
    <t>Sandy soil fields ?</t>
  </si>
  <si>
    <t>茶園土壤屬於砂土？</t>
  </si>
  <si>
    <t>Gravel fields ?</t>
  </si>
  <si>
    <t>茶園位於石礫地？</t>
  </si>
  <si>
    <t>Compacted surface soil ?</t>
  </si>
  <si>
    <t>表土相當緊實？</t>
  </si>
  <si>
    <t>Compacted subsoil ?</t>
  </si>
  <si>
    <t>底土相當緊實？</t>
  </si>
  <si>
    <t>Algae marks existed on soil surface ?</t>
  </si>
  <si>
    <t>土表有藻斑存在？</t>
  </si>
  <si>
    <t>Shallow clayey soil over rocks underneath ?</t>
  </si>
  <si>
    <t>Trees are missing or wilting at some locations?</t>
  </si>
  <si>
    <t>局部地點有缺株或整株枯萎徵狀？</t>
  </si>
  <si>
    <t>Significan difference of texture layers ?</t>
  </si>
  <si>
    <t>Mottles appeared within 40 cm ?</t>
  </si>
  <si>
    <t>40cm內出現鏽斑？</t>
  </si>
  <si>
    <t xml:space="preserve">Symptoms occurred at location where cases of NDWI&lt;0 have occurred before ? </t>
  </si>
  <si>
    <t>徵狀處曾發生過NDWI&lt;0的狀況？</t>
  </si>
  <si>
    <t>淺的黏土層位於石頭層上？</t>
  </si>
  <si>
    <t>Often but shallow irrigation ?</t>
  </si>
  <si>
    <t>經常淺灌？</t>
  </si>
  <si>
    <t xml:space="preserve">Very thick mulch (&gt;5cm) of peanut shells, rice husks, bagasse ? </t>
  </si>
  <si>
    <t>花生殼、稻殼、蔗渣敷蓋太厚 (&gt;5cm)？</t>
  </si>
  <si>
    <t>Older than 10 years ?</t>
  </si>
  <si>
    <t>樹齡已超過10年?</t>
  </si>
  <si>
    <t>Q2804</t>
  </si>
  <si>
    <t>有異常開花/花芽較多現象？</t>
  </si>
  <si>
    <t>側根多分布於表層土壤，細根少，易發生病蟲害？</t>
  </si>
  <si>
    <t>Seedlings or less than 3 years old plants?</t>
  </si>
  <si>
    <t>屬於新植茶苗或3年內幼樹？</t>
  </si>
  <si>
    <t>Q6302</t>
  </si>
  <si>
    <t>Q6303</t>
  </si>
  <si>
    <t>Q6305</t>
  </si>
  <si>
    <t>未曾補充微量元素？</t>
  </si>
  <si>
    <t>No significan pest symptoms observed ?</t>
  </si>
  <si>
    <t>No significan disease symptoms observed ?</t>
  </si>
  <si>
    <t>Soils-2102</t>
    <phoneticPr fontId="1" type="noConversion"/>
  </si>
  <si>
    <t>沒有明顯的病害徵狀？</t>
    <phoneticPr fontId="1" type="noConversion"/>
  </si>
  <si>
    <t>Negative SiteEvaluation-1241</t>
    <phoneticPr fontId="1" type="noConversion"/>
  </si>
  <si>
    <t>有機質肥料使用方式正確???</t>
    <phoneticPr fontId="1" type="noConversion"/>
  </si>
  <si>
    <t>化學肥料使用方式正確???</t>
    <phoneticPr fontId="1" type="noConversion"/>
  </si>
  <si>
    <r>
      <t>Yes</t>
    </r>
    <r>
      <rPr>
        <sz val="10"/>
        <color theme="1"/>
        <rFont val="新細明體"/>
        <family val="2"/>
        <charset val="136"/>
      </rPr>
      <t>診斷</t>
    </r>
    <phoneticPr fontId="1" type="noConversion"/>
  </si>
  <si>
    <t>化學肥料用量不正確。</t>
    <phoneticPr fontId="1" type="noConversion"/>
  </si>
  <si>
    <t>化學肥料用量不正確？</t>
    <phoneticPr fontId="1" type="noConversion"/>
  </si>
  <si>
    <t>化學肥料用量正確。</t>
    <phoneticPr fontId="1" type="noConversion"/>
  </si>
  <si>
    <t>化學肥料比例不正確？</t>
    <phoneticPr fontId="1" type="noConversion"/>
  </si>
  <si>
    <t>化學肥料比例正確。</t>
    <phoneticPr fontId="1" type="noConversion"/>
  </si>
  <si>
    <t>化學肥料未掩埋入土？</t>
    <phoneticPr fontId="1" type="noConversion"/>
  </si>
  <si>
    <t>化學肥料有掩埋入土。</t>
    <phoneticPr fontId="1" type="noConversion"/>
  </si>
  <si>
    <t>有機質肥料未掩埋入土？</t>
    <phoneticPr fontId="1" type="noConversion"/>
  </si>
  <si>
    <t>有機質肥料未掩埋入土。</t>
    <phoneticPr fontId="1" type="noConversion"/>
  </si>
  <si>
    <t>有機質肥料有掩埋入土。</t>
    <phoneticPr fontId="1" type="noConversion"/>
  </si>
  <si>
    <r>
      <rPr>
        <sz val="10"/>
        <color theme="1"/>
        <rFont val="細明體"/>
        <family val="3"/>
        <charset val="136"/>
      </rPr>
      <t>有機質肥料施用時機</t>
    </r>
    <r>
      <rPr>
        <sz val="10"/>
        <color theme="1"/>
        <rFont val="Times New Roman"/>
        <family val="1"/>
      </rPr>
      <t>/</t>
    </r>
    <r>
      <rPr>
        <sz val="10"/>
        <color theme="1"/>
        <rFont val="細明體"/>
        <family val="3"/>
        <charset val="136"/>
      </rPr>
      <t>種類不正確？</t>
    </r>
    <phoneticPr fontId="1" type="noConversion"/>
  </si>
  <si>
    <t>使用未腐熟有機質肥料？</t>
    <phoneticPr fontId="1" type="noConversion"/>
  </si>
  <si>
    <t>使用已腐熟有機質肥料。</t>
    <phoneticPr fontId="1" type="noConversion"/>
  </si>
  <si>
    <t>有機質肥料使用方式不正確</t>
    <phoneticPr fontId="1" type="noConversion"/>
  </si>
  <si>
    <t>化學肥料使用方式不正確</t>
    <phoneticPr fontId="1" type="noConversion"/>
  </si>
  <si>
    <r>
      <rPr>
        <sz val="10"/>
        <color theme="1"/>
        <rFont val="細明體"/>
        <family val="3"/>
        <charset val="136"/>
      </rPr>
      <t>有明顯土壤質地層理</t>
    </r>
    <r>
      <rPr>
        <sz val="10"/>
        <color theme="1"/>
        <rFont val="Times New Roman"/>
        <family val="1"/>
      </rPr>
      <t>(</t>
    </r>
    <r>
      <rPr>
        <sz val="10"/>
        <color theme="1"/>
        <rFont val="細明體"/>
        <family val="3"/>
        <charset val="136"/>
      </rPr>
      <t>例如</t>
    </r>
    <r>
      <rPr>
        <sz val="10"/>
        <color theme="1"/>
        <rFont val="Times New Roman"/>
        <family val="1"/>
      </rPr>
      <t xml:space="preserve">: </t>
    </r>
    <r>
      <rPr>
        <sz val="10"/>
        <color theme="1"/>
        <rFont val="細明體"/>
        <family val="3"/>
        <charset val="136"/>
      </rPr>
      <t>淺的壤土或黏土表層且底下為石礫層</t>
    </r>
    <r>
      <rPr>
        <sz val="10"/>
        <color theme="1"/>
        <rFont val="Times New Roman"/>
        <family val="1"/>
      </rPr>
      <t xml:space="preserve">, </t>
    </r>
    <r>
      <rPr>
        <sz val="10"/>
        <color theme="1"/>
        <rFont val="細明體"/>
        <family val="3"/>
        <charset val="136"/>
      </rPr>
      <t>或表土和底土質地差異大</t>
    </r>
    <r>
      <rPr>
        <sz val="10"/>
        <color theme="1"/>
        <rFont val="Times New Roman"/>
        <family val="1"/>
      </rPr>
      <t>)</t>
    </r>
    <r>
      <rPr>
        <sz val="10"/>
        <color theme="1"/>
        <rFont val="細明體"/>
        <family val="3"/>
        <charset val="136"/>
      </rPr>
      <t>？</t>
    </r>
    <phoneticPr fontId="1" type="noConversion"/>
  </si>
  <si>
    <t>無明顯土壤質地層理。</t>
    <phoneticPr fontId="1" type="noConversion"/>
  </si>
  <si>
    <t>Cases of NDVI&lt;0.5 have occurred ?</t>
    <phoneticPr fontId="1" type="noConversion"/>
  </si>
  <si>
    <t>#1213</t>
    <phoneticPr fontId="1" type="noConversion"/>
  </si>
  <si>
    <t>#1214</t>
    <phoneticPr fontId="1" type="noConversion"/>
  </si>
  <si>
    <r>
      <rPr>
        <sz val="10"/>
        <color theme="1"/>
        <rFont val="新細明體"/>
        <family val="1"/>
        <charset val="136"/>
      </rPr>
      <t>出現過</t>
    </r>
    <r>
      <rPr>
        <sz val="10"/>
        <color theme="1"/>
        <rFont val="Times New Roman"/>
        <family val="1"/>
      </rPr>
      <t>NDVI&lt;0.5</t>
    </r>
    <r>
      <rPr>
        <sz val="10"/>
        <color theme="1"/>
        <rFont val="新細明體"/>
        <family val="1"/>
        <charset val="136"/>
      </rPr>
      <t>的狀況？</t>
    </r>
    <phoneticPr fontId="1" type="noConversion"/>
  </si>
  <si>
    <t>茶樹曾有葉面積指數(LAI)偏低的狀況。</t>
    <phoneticPr fontId="1" type="noConversion"/>
  </si>
  <si>
    <r>
      <t>茶樹不曾有葉面積指數</t>
    </r>
    <r>
      <rPr>
        <sz val="10"/>
        <color theme="1"/>
        <rFont val="Times New Roman"/>
        <family val="1"/>
      </rPr>
      <t>(LAI)</t>
    </r>
    <r>
      <rPr>
        <sz val="10"/>
        <color theme="1"/>
        <rFont val="細明體"/>
        <family val="3"/>
        <charset val="136"/>
      </rPr>
      <t>偏低的狀況。</t>
    </r>
    <phoneticPr fontId="1" type="noConversion"/>
  </si>
  <si>
    <r>
      <rPr>
        <sz val="10"/>
        <color theme="1"/>
        <rFont val="細明體"/>
        <family val="3"/>
        <charset val="136"/>
      </rPr>
      <t>一般茶園的</t>
    </r>
    <r>
      <rPr>
        <sz val="10"/>
        <color theme="1"/>
        <rFont val="Times New Roman"/>
        <family val="1"/>
      </rPr>
      <t>NDVI</t>
    </r>
    <r>
      <rPr>
        <sz val="10"/>
        <color theme="1"/>
        <rFont val="細明體"/>
        <family val="3"/>
        <charset val="136"/>
      </rPr>
      <t>值約介於</t>
    </r>
    <r>
      <rPr>
        <sz val="10"/>
        <color theme="1"/>
        <rFont val="Times New Roman"/>
        <family val="1"/>
      </rPr>
      <t>0.5~0.75</t>
    </r>
    <r>
      <rPr>
        <sz val="10"/>
        <color theme="1"/>
        <rFont val="細明體"/>
        <family val="3"/>
        <charset val="136"/>
      </rPr>
      <t>間；裸露地的</t>
    </r>
    <r>
      <rPr>
        <sz val="10"/>
        <color theme="1"/>
        <rFont val="Times New Roman"/>
        <family val="1"/>
      </rPr>
      <t xml:space="preserve">NDVI&lt;0.3; </t>
    </r>
    <r>
      <rPr>
        <sz val="10"/>
        <color theme="1"/>
        <rFont val="細明體"/>
        <family val="3"/>
        <charset val="136"/>
      </rPr>
      <t>水體的</t>
    </r>
    <r>
      <rPr>
        <sz val="10"/>
        <color theme="1"/>
        <rFont val="Times New Roman"/>
        <family val="1"/>
      </rPr>
      <t>NDVI&lt;0</t>
    </r>
    <r>
      <rPr>
        <sz val="10"/>
        <color theme="1"/>
        <rFont val="細明體"/>
        <family val="3"/>
        <charset val="136"/>
      </rPr>
      <t>。</t>
    </r>
    <phoneticPr fontId="1" type="noConversion"/>
  </si>
  <si>
    <t>若NDVI&lt;0.5的狀況僅出現於茶園內部分區域，應進行問題土壤診斷，比較生長好和生長不好處，植株性狀和土壤性質間的差異，並詢問農民原因。</t>
    <phoneticPr fontId="1" type="noConversion"/>
  </si>
  <si>
    <r>
      <t>NDVI&lt;0.5</t>
    </r>
    <r>
      <rPr>
        <sz val="10"/>
        <color theme="1"/>
        <rFont val="細明體"/>
        <family val="3"/>
        <charset val="136"/>
      </rPr>
      <t>的狀況僅出現於旱季期間？</t>
    </r>
    <phoneticPr fontId="1" type="noConversion"/>
  </si>
  <si>
    <t>是否有大範圍病蟲害徵狀？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</si>
</sst>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 "/>
  </numFmts>
  <fonts count="24">
    <font>
      <sz val="12"/>
      <color theme="1"/>
      <name val="新細明體"/>
      <family val="2"/>
      <charset val="136"/>
      <scheme val="minor"/>
    </font>
    <font>
      <sz val="9"/>
      <name val="新細明體"/>
      <family val="2"/>
      <charset val="136"/>
      <scheme val="minor"/>
    </font>
    <font>
      <sz val="10"/>
      <color theme="1"/>
      <name val="新細明體"/>
      <family val="1"/>
      <charset val="136"/>
    </font>
    <font>
      <sz val="10"/>
      <color theme="1"/>
      <name val="新細明體"/>
      <family val="2"/>
      <charset val="136"/>
    </font>
    <font>
      <sz val="10"/>
      <color rgb="FFFF0000"/>
      <name val="新細明體"/>
      <family val="1"/>
      <charset val="136"/>
    </font>
    <font>
      <sz val="10"/>
      <color rgb="FF0070C0"/>
      <name val="新細明體"/>
      <family val="1"/>
      <charset val="136"/>
    </font>
    <font>
      <sz val="10"/>
      <color theme="1"/>
      <name val="Times New Roman"/>
      <family val="1"/>
    </font>
    <font>
      <sz val="10"/>
      <color rgb="FFFF0000"/>
      <name val="Times New Roman"/>
      <family val="1"/>
    </font>
    <font>
      <sz val="10"/>
      <color rgb="FF0070C0"/>
      <name val="Times New Roman"/>
      <family val="1"/>
    </font>
    <font>
      <sz val="12"/>
      <color theme="1"/>
      <name val="Times New Roman"/>
      <family val="1"/>
    </font>
    <font>
      <sz val="10"/>
      <color theme="1"/>
      <name val="細明體"/>
      <family val="3"/>
      <charset val="136"/>
    </font>
    <font>
      <sz val="10"/>
      <name val="新細明體"/>
      <family val="1"/>
      <charset val="136"/>
    </font>
    <font>
      <sz val="10"/>
      <color rgb="FFFF0000"/>
      <name val="細明體"/>
      <family val="3"/>
      <charset val="136"/>
    </font>
    <font>
      <sz val="10"/>
      <name val="細明體"/>
      <family val="3"/>
      <charset val="136"/>
    </font>
    <font>
      <sz val="10"/>
      <color rgb="FF0070C0"/>
      <name val="細明體"/>
      <family val="3"/>
      <charset val="136"/>
    </font>
    <font>
      <sz val="10"/>
      <color theme="1"/>
      <name val="Arial Unicode MS"/>
      <family val="2"/>
      <charset val="136"/>
    </font>
    <font>
      <sz val="10"/>
      <name val="Times New Roman"/>
      <family val="1"/>
    </font>
    <font>
      <vertAlign val="subscript"/>
      <sz val="10"/>
      <color theme="1"/>
      <name val="Times New Roman"/>
      <family val="1"/>
    </font>
    <font>
      <sz val="10"/>
      <color rgb="FF0070C0"/>
      <name val="新細明體"/>
      <family val="2"/>
      <charset val="136"/>
    </font>
    <font>
      <sz val="10"/>
      <color rgb="FFFF0000"/>
      <name val="Times New Roman"/>
      <family val="1"/>
      <charset val="136"/>
    </font>
    <font>
      <sz val="11"/>
      <color theme="1"/>
      <name val="Times New Roman"/>
      <family val="1"/>
    </font>
    <font>
      <sz val="11"/>
      <color theme="1"/>
      <name val="細明體"/>
      <family val="3"/>
      <charset val="136"/>
    </font>
    <font>
      <sz val="10"/>
      <color theme="1"/>
      <name val="微軟正黑體"/>
      <family val="1"/>
      <charset val="136"/>
    </font>
    <font>
      <sz val="10"/>
      <color theme="1"/>
      <name val="Times New Roman"/>
      <family val="1"/>
      <charset val="136"/>
    </font>
  </fonts>
  <fills count="7">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9"/>
        <bgColor indexed="64"/>
      </patternFill>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74">
    <xf numFmtId="0" fontId="0" fillId="0" borderId="0" xfId="0" applyAlignment="1">
      <alignment vertical="center"/>
    </xf>
    <xf numFmtId="0" fontId="6" fillId="0" borderId="0" xfId="0" applyFont="1" applyAlignment="1">
      <alignment vertical="top"/>
    </xf>
    <xf numFmtId="0" fontId="6" fillId="0" borderId="0" xfId="0" quotePrefix="1" applyFont="1" applyAlignment="1">
      <alignment vertical="top"/>
    </xf>
    <xf numFmtId="0" fontId="6" fillId="0" borderId="0" xfId="0" applyFont="1" applyFill="1" applyAlignment="1">
      <alignment vertical="top"/>
    </xf>
    <xf numFmtId="0" fontId="6" fillId="0" borderId="0" xfId="0" applyNumberFormat="1" applyFont="1" applyAlignment="1">
      <alignment vertical="top"/>
    </xf>
    <xf numFmtId="0" fontId="6" fillId="0" borderId="0" xfId="0" quotePrefix="1" applyNumberFormat="1" applyFont="1" applyAlignment="1">
      <alignment vertical="top"/>
    </xf>
    <xf numFmtId="0" fontId="6" fillId="0" borderId="0" xfId="0" applyNumberFormat="1" applyFont="1" applyFill="1" applyAlignment="1">
      <alignment vertical="top"/>
    </xf>
    <xf numFmtId="0" fontId="16" fillId="0" borderId="0" xfId="0" applyFont="1" applyAlignment="1">
      <alignment vertical="top"/>
    </xf>
    <xf numFmtId="49" fontId="6" fillId="0" borderId="0" xfId="0" applyNumberFormat="1" applyFont="1" applyAlignment="1">
      <alignment vertical="top"/>
    </xf>
    <xf numFmtId="49" fontId="6" fillId="2" borderId="0" xfId="0" applyNumberFormat="1" applyFont="1" applyFill="1" applyAlignment="1">
      <alignment vertical="top"/>
    </xf>
    <xf numFmtId="0" fontId="6" fillId="0" borderId="0" xfId="0" applyFont="1" applyAlignment="1" applyProtection="1">
      <alignment vertical="top"/>
      <protection locked="0"/>
    </xf>
    <xf numFmtId="0" fontId="6" fillId="2" borderId="0" xfId="0" applyFont="1" applyFill="1" applyAlignment="1">
      <alignment vertical="top"/>
    </xf>
    <xf numFmtId="49" fontId="6" fillId="0" borderId="0" xfId="0" applyNumberFormat="1" applyFont="1" applyAlignment="1">
      <alignment horizontal="left" vertical="top"/>
    </xf>
    <xf numFmtId="0" fontId="18" fillId="0" borderId="0" xfId="0" applyFont="1" applyAlignment="1">
      <alignment vertical="top"/>
    </xf>
    <xf numFmtId="49" fontId="6" fillId="3" borderId="0" xfId="0" applyNumberFormat="1" applyFont="1" applyFill="1" applyAlignment="1">
      <alignment horizontal="left" vertical="top"/>
    </xf>
    <xf numFmtId="0" fontId="2" fillId="3" borderId="0" xfId="0" applyFont="1" applyFill="1" applyAlignment="1">
      <alignment vertical="top"/>
    </xf>
    <xf numFmtId="0" fontId="3" fillId="0" borderId="0" xfId="0" applyFont="1" applyAlignment="1">
      <alignment vertical="top"/>
    </xf>
    <xf numFmtId="0" fontId="10" fillId="0" borderId="0" xfId="0" applyFont="1" applyAlignment="1">
      <alignment vertical="top"/>
    </xf>
    <xf numFmtId="0" fontId="8" fillId="0" borderId="0" xfId="0" applyFont="1" applyAlignment="1">
      <alignment vertical="top"/>
    </xf>
    <xf numFmtId="49" fontId="7" fillId="0" borderId="0" xfId="0" applyNumberFormat="1" applyFont="1" applyAlignment="1">
      <alignment vertical="top"/>
    </xf>
    <xf numFmtId="49" fontId="2" fillId="0" borderId="0" xfId="0" applyNumberFormat="1" applyFont="1" applyAlignment="1">
      <alignment vertical="top"/>
    </xf>
    <xf numFmtId="49" fontId="10" fillId="0" borderId="0" xfId="0" applyNumberFormat="1" applyFont="1" applyAlignment="1">
      <alignment vertical="top"/>
    </xf>
    <xf numFmtId="49" fontId="10" fillId="0" borderId="0" xfId="0" applyNumberFormat="1" applyFont="1" applyFill="1" applyAlignment="1">
      <alignment vertical="top"/>
    </xf>
    <xf numFmtId="49" fontId="6" fillId="0" borderId="0" xfId="0" applyNumberFormat="1" applyFont="1" applyFill="1" applyAlignment="1">
      <alignment vertical="top"/>
    </xf>
    <xf numFmtId="0" fontId="10" fillId="0" borderId="0" xfId="0" applyFont="1" applyFill="1" applyAlignment="1">
      <alignment vertical="top"/>
    </xf>
    <xf numFmtId="49" fontId="16" fillId="0" borderId="0" xfId="0" applyNumberFormat="1" applyFont="1" applyAlignment="1">
      <alignment vertical="top"/>
    </xf>
    <xf numFmtId="0" fontId="2" fillId="2" borderId="0" xfId="0" applyFont="1" applyFill="1" applyAlignment="1">
      <alignment vertical="top"/>
    </xf>
    <xf numFmtId="0" fontId="7" fillId="2" borderId="0" xfId="0" applyFont="1" applyFill="1" applyAlignment="1">
      <alignment vertical="top"/>
    </xf>
    <xf numFmtId="176" fontId="6" fillId="0" borderId="0" xfId="0" applyNumberFormat="1" applyFont="1" applyFill="1" applyAlignment="1">
      <alignment vertical="top"/>
    </xf>
    <xf numFmtId="0" fontId="7" fillId="0" borderId="0" xfId="0" applyFont="1" applyFill="1" applyAlignment="1">
      <alignment vertical="top"/>
    </xf>
    <xf numFmtId="49" fontId="6" fillId="0" borderId="0" xfId="0" applyNumberFormat="1" applyFont="1" applyAlignment="1" applyProtection="1">
      <alignment vertical="top"/>
      <protection locked="0"/>
    </xf>
    <xf numFmtId="0" fontId="10" fillId="2" borderId="0" xfId="0" applyFont="1" applyFill="1" applyAlignment="1">
      <alignment vertical="top"/>
    </xf>
    <xf numFmtId="49" fontId="5" fillId="0" borderId="0" xfId="0" applyNumberFormat="1" applyFont="1" applyAlignment="1">
      <alignment vertical="top"/>
    </xf>
    <xf numFmtId="49" fontId="4" fillId="0" borderId="0" xfId="0" applyNumberFormat="1" applyFont="1" applyAlignment="1">
      <alignment vertical="top"/>
    </xf>
    <xf numFmtId="49" fontId="6" fillId="0" borderId="0" xfId="0" applyNumberFormat="1" applyFont="1" applyFill="1" applyBorder="1" applyAlignment="1">
      <alignment vertical="top"/>
    </xf>
    <xf numFmtId="0" fontId="12" fillId="0" borderId="0" xfId="0" applyFont="1" applyAlignment="1">
      <alignment vertical="top"/>
    </xf>
    <xf numFmtId="0" fontId="6" fillId="4" borderId="0" xfId="0" applyFont="1" applyFill="1" applyAlignment="1">
      <alignment vertical="top"/>
    </xf>
    <xf numFmtId="0" fontId="9" fillId="0" borderId="0" xfId="0" applyFont="1" applyAlignment="1">
      <alignment vertical="top"/>
    </xf>
    <xf numFmtId="0" fontId="6" fillId="3" borderId="0" xfId="0" applyFont="1" applyFill="1" applyAlignment="1">
      <alignment vertical="top"/>
    </xf>
    <xf numFmtId="49" fontId="4" fillId="0" borderId="0" xfId="0" applyNumberFormat="1" applyFont="1" applyFill="1" applyAlignment="1">
      <alignment vertical="top"/>
    </xf>
    <xf numFmtId="49" fontId="2" fillId="0" borderId="0" xfId="0" applyNumberFormat="1" applyFont="1" applyFill="1" applyAlignment="1">
      <alignment vertical="top"/>
    </xf>
    <xf numFmtId="0" fontId="2" fillId="0" borderId="0" xfId="0" applyFont="1" applyAlignment="1">
      <alignment vertical="top"/>
    </xf>
    <xf numFmtId="49" fontId="7" fillId="2" borderId="0" xfId="0" applyNumberFormat="1" applyFont="1" applyFill="1" applyAlignment="1">
      <alignment vertical="top"/>
    </xf>
    <xf numFmtId="49" fontId="9" fillId="2" borderId="0" xfId="0" applyNumberFormat="1" applyFont="1" applyFill="1" applyAlignment="1">
      <alignment vertical="top"/>
    </xf>
    <xf numFmtId="49" fontId="2" fillId="4" borderId="0" xfId="0" applyNumberFormat="1" applyFont="1" applyFill="1" applyAlignment="1">
      <alignment vertical="center"/>
    </xf>
    <xf numFmtId="49" fontId="2" fillId="3" borderId="0" xfId="0" applyNumberFormat="1" applyFont="1" applyFill="1" applyAlignment="1">
      <alignment vertical="center"/>
    </xf>
    <xf numFmtId="49" fontId="2" fillId="2" borderId="0" xfId="0" applyNumberFormat="1" applyFont="1" applyFill="1" applyAlignment="1">
      <alignment vertical="center"/>
    </xf>
    <xf numFmtId="49" fontId="10" fillId="5" borderId="0" xfId="0" applyNumberFormat="1" applyFont="1" applyFill="1" applyAlignment="1">
      <alignment vertical="top"/>
    </xf>
    <xf numFmtId="0" fontId="3" fillId="2" borderId="0" xfId="0" applyFont="1" applyFill="1" applyAlignment="1">
      <alignment vertical="top"/>
    </xf>
    <xf numFmtId="0" fontId="4" fillId="2" borderId="0" xfId="0" applyFont="1" applyFill="1" applyAlignment="1">
      <alignment vertical="top"/>
    </xf>
    <xf numFmtId="0" fontId="6" fillId="6" borderId="0" xfId="0" applyFont="1" applyFill="1" applyAlignment="1">
      <alignment vertical="top"/>
    </xf>
    <xf numFmtId="49" fontId="6" fillId="3" borderId="0" xfId="0" applyNumberFormat="1" applyFont="1" applyFill="1" applyAlignment="1">
      <alignment vertical="top"/>
    </xf>
    <xf numFmtId="0" fontId="14" fillId="0" borderId="0" xfId="0" applyFont="1" applyAlignment="1">
      <alignment vertical="top"/>
    </xf>
    <xf numFmtId="0" fontId="20" fillId="3" borderId="0" xfId="0" applyFont="1" applyFill="1" applyAlignment="1">
      <alignment vertical="top"/>
    </xf>
    <xf numFmtId="0" fontId="2" fillId="0" borderId="0" xfId="0" applyNumberFormat="1" applyFont="1" applyAlignment="1">
      <alignment vertical="top"/>
    </xf>
    <xf numFmtId="0" fontId="6" fillId="2" borderId="0" xfId="0" applyNumberFormat="1" applyFont="1" applyFill="1" applyAlignment="1">
      <alignment vertical="top"/>
    </xf>
    <xf numFmtId="0" fontId="6" fillId="0" borderId="0" xfId="0" applyNumberFormat="1" applyFont="1" applyAlignment="1" applyProtection="1">
      <alignment vertical="top"/>
      <protection locked="0"/>
    </xf>
    <xf numFmtId="0" fontId="8" fillId="0" borderId="0" xfId="0" applyNumberFormat="1" applyFont="1" applyAlignment="1">
      <alignment vertical="top"/>
    </xf>
    <xf numFmtId="0" fontId="10" fillId="0" borderId="0" xfId="0" applyNumberFormat="1" applyFont="1" applyAlignment="1">
      <alignment vertical="top"/>
    </xf>
    <xf numFmtId="0" fontId="19" fillId="0" borderId="0" xfId="0" applyNumberFormat="1" applyFont="1" applyAlignment="1">
      <alignment vertical="top"/>
    </xf>
    <xf numFmtId="0" fontId="11" fillId="0" borderId="0" xfId="0" applyNumberFormat="1" applyFont="1" applyAlignment="1">
      <alignment vertical="top"/>
    </xf>
    <xf numFmtId="0" fontId="7" fillId="0" borderId="0" xfId="0" applyNumberFormat="1" applyFont="1" applyAlignment="1">
      <alignment vertical="top"/>
    </xf>
    <xf numFmtId="0" fontId="7" fillId="2" borderId="0" xfId="0" applyNumberFormat="1" applyFont="1" applyFill="1" applyAlignment="1">
      <alignment vertical="top"/>
    </xf>
    <xf numFmtId="0" fontId="7" fillId="0" borderId="0" xfId="0" applyNumberFormat="1" applyFont="1" applyFill="1" applyAlignment="1">
      <alignment vertical="top"/>
    </xf>
    <xf numFmtId="0" fontId="8" fillId="0" borderId="0" xfId="0" applyFont="1" applyAlignment="1" applyProtection="1">
      <alignment vertical="top"/>
      <protection locked="0"/>
    </xf>
    <xf numFmtId="0" fontId="7" fillId="0" borderId="0" xfId="0" applyFont="1" applyAlignment="1">
      <alignment vertical="top"/>
    </xf>
    <xf numFmtId="0" fontId="16" fillId="3" borderId="0" xfId="0" applyFont="1" applyFill="1" applyAlignment="1">
      <alignment vertical="top"/>
    </xf>
    <xf numFmtId="0" fontId="6" fillId="3" borderId="0" xfId="0" applyFont="1" applyFill="1" applyAlignment="1" applyProtection="1">
      <alignment vertical="top"/>
      <protection locked="0"/>
    </xf>
    <xf numFmtId="0" fontId="6" fillId="0" borderId="0" xfId="0" applyFont="1" applyAlignment="1">
      <alignment horizontal="left" vertical="top"/>
    </xf>
    <xf numFmtId="49" fontId="23" fillId="3" borderId="0" xfId="0" applyNumberFormat="1" applyFont="1" applyFill="1" applyAlignment="1">
      <alignment vertical="top"/>
    </xf>
    <xf numFmtId="0" fontId="3" fillId="3" borderId="0" xfId="0" applyFont="1" applyFill="1" applyAlignment="1">
      <alignment vertical="top"/>
    </xf>
    <xf numFmtId="0" fontId="3" fillId="0" borderId="0" xfId="0" applyFont="1" applyFill="1" applyAlignment="1">
      <alignment vertical="top"/>
    </xf>
    <xf numFmtId="49" fontId="22" fillId="2" borderId="0" xfId="0" applyNumberFormat="1" applyFont="1" applyFill="1" applyAlignment="1">
      <alignment vertical="top"/>
    </xf>
    <xf numFmtId="0" fontId="10" fillId="3" borderId="0" xfId="0" applyFont="1" applyFill="1" applyAlignment="1">
      <alignment vertical="top"/>
    </xf>
  </cellXfs>
  <cellStyles count="1">
    <cellStyle name="一般"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14</xdr:col>
      <xdr:colOff>523875</xdr:colOff>
      <xdr:row>16</xdr:row>
      <xdr:rowOff>57150</xdr:rowOff>
    </xdr:from>
    <xdr:ext cx="184731" cy="264560"/>
    <xdr:sp macro="" textlink="">
      <xdr:nvSpPr>
        <xdr:cNvPr id="2" name="文字方塊 1">
          <a:extLst>
            <a:ext uri="{FF2B5EF4-FFF2-40B4-BE49-F238E27FC236}">
              <a16:creationId xmlns:a16="http://schemas.microsoft.com/office/drawing/2014/main" id="{00000000-0008-0000-0000-000002000000}"/>
            </a:ext>
          </a:extLst>
        </xdr:cNvPr>
        <xdr:cNvSpPr txBox="1"/>
      </xdr:nvSpPr>
      <xdr:spPr>
        <a:xfrm>
          <a:off x="11963400" y="2790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zh-TW" altLang="en-US" sz="1100"/>
        </a:p>
      </xdr:txBody>
    </xdr:sp>
    <xdr:clientData/>
  </xdr:one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39"/>
  <sheetViews>
    <sheetView zoomScaleNormal="100" workbookViewId="0">
      <pane xSplit="2" ySplit="1" topLeftCell="C2" activePane="bottomRight" state="frozen"/>
      <selection pane="topRight" activeCell="C1" sqref="C1"/>
      <selection pane="bottomLeft" activeCell="A2" sqref="A2"/>
      <selection pane="bottomRight" activeCell="J16" sqref="J16"/>
    </sheetView>
  </sheetViews>
  <sheetFormatPr defaultRowHeight="15.75"/>
  <cols>
    <col min="1" max="2" width="5.625" style="1" customWidth="1"/>
    <col min="3" max="3" width="30.625" style="8" customWidth="1"/>
    <col min="4" max="4" width="5.625" style="1" customWidth="1"/>
    <col min="5" max="5" width="6.625" style="1" customWidth="1"/>
    <col min="6" max="9" width="7.625" style="1" customWidth="1"/>
    <col min="10" max="10" width="20.625" style="8" customWidth="1"/>
    <col min="11" max="15" width="20.625" style="1" customWidth="1"/>
    <col min="16" max="16" width="20.625" style="37" customWidth="1"/>
    <col min="17" max="17" width="17.625" style="1" customWidth="1"/>
    <col min="18" max="16384" width="9" style="1"/>
  </cols>
  <sheetData>
    <row r="1" spans="1:17" ht="14.25">
      <c r="A1" s="1" t="s">
        <v>0</v>
      </c>
      <c r="B1" s="1" t="s">
        <v>1</v>
      </c>
      <c r="C1" s="8" t="s">
        <v>2</v>
      </c>
      <c r="D1" s="8" t="s">
        <v>3</v>
      </c>
      <c r="E1" s="8" t="s">
        <v>4</v>
      </c>
      <c r="F1" s="9" t="s">
        <v>43</v>
      </c>
      <c r="G1" s="8" t="s">
        <v>5</v>
      </c>
      <c r="H1" s="8" t="s">
        <v>6</v>
      </c>
      <c r="I1" s="1" t="s">
        <v>7</v>
      </c>
      <c r="J1" s="30" t="s">
        <v>54</v>
      </c>
      <c r="K1" s="1" t="s">
        <v>55</v>
      </c>
      <c r="L1" s="1" t="s">
        <v>56</v>
      </c>
      <c r="M1" s="31" t="s">
        <v>154</v>
      </c>
      <c r="N1" s="26" t="s">
        <v>153</v>
      </c>
      <c r="O1" s="17" t="s">
        <v>71</v>
      </c>
      <c r="P1" s="17" t="s">
        <v>193</v>
      </c>
      <c r="Q1" s="1" t="s">
        <v>608</v>
      </c>
    </row>
    <row r="2" spans="1:17" ht="14.25">
      <c r="A2" s="1" t="s">
        <v>514</v>
      </c>
      <c r="D2" s="8"/>
      <c r="E2" s="8"/>
      <c r="F2" s="8"/>
      <c r="G2" s="1" t="str">
        <f>IF(ISBLANK(D2),"",IF(ISNUMBER(VALUE(RIGHT(D2,1))),"",IF(UPPER(RIGHT(D2,7))="UNKNOWN","",0.1)))</f>
        <v/>
      </c>
      <c r="H2" s="1" t="str">
        <f>IF(ISBLANK(E2),"",IF(ISNUMBER(VALUE(RIGHT(E2,1))),"",IF(UPPER(RIGHT(E2,7))="UNKNOWN","",0.1)))</f>
        <v/>
      </c>
      <c r="J2" s="32" t="s">
        <v>155</v>
      </c>
      <c r="P2" s="1"/>
    </row>
    <row r="3" spans="1:17" ht="14.25">
      <c r="A3" s="1">
        <v>1</v>
      </c>
      <c r="B3" s="1">
        <v>1</v>
      </c>
      <c r="C3" s="8" t="s">
        <v>612</v>
      </c>
      <c r="D3" s="8" t="s">
        <v>8</v>
      </c>
      <c r="E3" s="8" t="s">
        <v>10</v>
      </c>
      <c r="F3" s="8"/>
      <c r="G3" s="1">
        <v>0</v>
      </c>
      <c r="H3" s="1">
        <v>0</v>
      </c>
      <c r="I3" s="1" t="s">
        <v>228</v>
      </c>
      <c r="J3" s="20" t="s">
        <v>215</v>
      </c>
      <c r="M3" s="16" t="s">
        <v>207</v>
      </c>
      <c r="N3" s="1" t="s">
        <v>476</v>
      </c>
      <c r="P3" s="1"/>
    </row>
    <row r="4" spans="1:17" ht="14.25">
      <c r="A4" s="1" t="s">
        <v>44</v>
      </c>
      <c r="D4" s="8"/>
      <c r="E4" s="8"/>
      <c r="F4" s="8"/>
      <c r="J4" s="33" t="s">
        <v>206</v>
      </c>
      <c r="P4" s="1"/>
    </row>
    <row r="5" spans="1:17" ht="14.25">
      <c r="A5" s="1">
        <f>+A3+1</f>
        <v>2</v>
      </c>
      <c r="B5" s="1">
        <v>1101</v>
      </c>
      <c r="C5" s="34" t="s">
        <v>611</v>
      </c>
      <c r="D5" s="8" t="s">
        <v>9</v>
      </c>
      <c r="E5" s="8" t="s">
        <v>45</v>
      </c>
      <c r="F5" s="8"/>
      <c r="G5" s="1">
        <v>0</v>
      </c>
      <c r="H5" s="1">
        <v>0</v>
      </c>
      <c r="I5" s="1" t="str">
        <f>IF(ISBLANK(B5),"",CONCATENATE("N",TEXT(B5,0),""))</f>
        <v>N1101</v>
      </c>
      <c r="J5" s="20" t="s">
        <v>216</v>
      </c>
      <c r="M5" s="17" t="s">
        <v>558</v>
      </c>
      <c r="N5" s="17" t="s">
        <v>555</v>
      </c>
      <c r="P5" s="35"/>
    </row>
    <row r="6" spans="1:17" ht="14.25">
      <c r="A6" s="1">
        <f>+A5+1</f>
        <v>3</v>
      </c>
      <c r="B6" s="1">
        <v>1102</v>
      </c>
      <c r="C6" s="34" t="s">
        <v>610</v>
      </c>
      <c r="D6" s="8" t="s">
        <v>45</v>
      </c>
      <c r="E6" s="8" t="s">
        <v>45</v>
      </c>
      <c r="F6" s="23" t="s">
        <v>45</v>
      </c>
      <c r="G6" s="1">
        <v>0.25</v>
      </c>
      <c r="H6" s="1">
        <v>0.25</v>
      </c>
      <c r="I6" s="36" t="s">
        <v>211</v>
      </c>
      <c r="J6" s="20" t="s">
        <v>515</v>
      </c>
      <c r="K6" s="16" t="s">
        <v>516</v>
      </c>
      <c r="L6" s="16" t="s">
        <v>208</v>
      </c>
      <c r="M6" s="17" t="s">
        <v>222</v>
      </c>
      <c r="N6" s="1" t="s">
        <v>475</v>
      </c>
      <c r="O6" s="16" t="s">
        <v>552</v>
      </c>
      <c r="P6" s="35" t="s">
        <v>209</v>
      </c>
    </row>
    <row r="7" spans="1:17">
      <c r="C7" s="23"/>
      <c r="F7" s="3"/>
      <c r="M7" s="17"/>
    </row>
    <row r="8" spans="1:17" ht="14.25">
      <c r="A8" s="1" t="s">
        <v>46</v>
      </c>
      <c r="D8" s="8"/>
      <c r="E8" s="8"/>
      <c r="F8" s="23"/>
      <c r="J8" s="19" t="s">
        <v>57</v>
      </c>
      <c r="P8" s="1"/>
    </row>
    <row r="9" spans="1:17" ht="14.25">
      <c r="A9" s="1">
        <f>+A6+1</f>
        <v>4</v>
      </c>
      <c r="B9" s="1">
        <v>1201</v>
      </c>
      <c r="C9" s="8" t="s">
        <v>609</v>
      </c>
      <c r="D9" s="8" t="s">
        <v>47</v>
      </c>
      <c r="E9" s="8" t="s">
        <v>10</v>
      </c>
      <c r="F9" s="23"/>
      <c r="G9" s="1">
        <v>0</v>
      </c>
      <c r="H9" s="1">
        <v>0</v>
      </c>
      <c r="I9" s="1" t="str">
        <f>IF(ISBLANK(B9),"",CONCATENATE("N",TEXT(B9,0),""))</f>
        <v>N1201</v>
      </c>
      <c r="J9" s="8" t="s">
        <v>152</v>
      </c>
      <c r="M9" s="17" t="s">
        <v>156</v>
      </c>
      <c r="N9" s="17" t="s">
        <v>556</v>
      </c>
      <c r="P9" s="1"/>
    </row>
    <row r="10" spans="1:17" ht="14.25">
      <c r="A10" s="1">
        <f t="shared" ref="A10:A16" si="0">+A9+1</f>
        <v>5</v>
      </c>
      <c r="B10" s="1">
        <v>1211</v>
      </c>
      <c r="C10" s="8" t="s">
        <v>613</v>
      </c>
      <c r="D10" s="8" t="s">
        <v>48</v>
      </c>
      <c r="E10" s="8" t="s">
        <v>48</v>
      </c>
      <c r="F10" s="23" t="s">
        <v>48</v>
      </c>
      <c r="G10" s="1">
        <v>0.25</v>
      </c>
      <c r="H10" s="1">
        <v>0.25</v>
      </c>
      <c r="I10" s="36" t="s">
        <v>212</v>
      </c>
      <c r="J10" s="8" t="s">
        <v>223</v>
      </c>
      <c r="K10" s="16" t="s">
        <v>224</v>
      </c>
      <c r="L10" s="16" t="s">
        <v>225</v>
      </c>
      <c r="M10" s="1" t="s">
        <v>520</v>
      </c>
      <c r="N10" s="1" t="s">
        <v>557</v>
      </c>
      <c r="O10" s="16" t="s">
        <v>552</v>
      </c>
      <c r="P10" s="1"/>
    </row>
    <row r="11" spans="1:17" ht="14.25">
      <c r="A11" s="1">
        <f t="shared" si="0"/>
        <v>6</v>
      </c>
      <c r="B11" s="1">
        <v>1212</v>
      </c>
      <c r="C11" s="8" t="s">
        <v>1198</v>
      </c>
      <c r="D11" s="8" t="s">
        <v>1199</v>
      </c>
      <c r="E11" s="8" t="s">
        <v>1200</v>
      </c>
      <c r="F11" s="23" t="s">
        <v>1199</v>
      </c>
      <c r="G11" s="1">
        <v>0.25</v>
      </c>
      <c r="H11" s="1">
        <v>0</v>
      </c>
      <c r="I11" s="36" t="str">
        <f>+I10</f>
        <v>N12</v>
      </c>
      <c r="J11" s="8" t="s">
        <v>1201</v>
      </c>
      <c r="K11" s="17" t="s">
        <v>1202</v>
      </c>
      <c r="L11" s="17" t="s">
        <v>1203</v>
      </c>
      <c r="M11" s="1" t="s">
        <v>1204</v>
      </c>
      <c r="O11" s="16" t="s">
        <v>1205</v>
      </c>
      <c r="P11" s="1"/>
    </row>
    <row r="12" spans="1:17" ht="14.25">
      <c r="A12" s="1">
        <f t="shared" si="0"/>
        <v>7</v>
      </c>
      <c r="B12" s="1">
        <v>1213</v>
      </c>
      <c r="C12" s="8" t="s">
        <v>614</v>
      </c>
      <c r="D12" s="8" t="s">
        <v>1200</v>
      </c>
      <c r="E12" s="8" t="s">
        <v>1200</v>
      </c>
      <c r="F12" s="23" t="s">
        <v>1200</v>
      </c>
      <c r="G12" s="1">
        <v>0.25</v>
      </c>
      <c r="H12" s="1">
        <v>0</v>
      </c>
      <c r="I12" s="36" t="str">
        <f>+I11</f>
        <v>N12</v>
      </c>
      <c r="J12" s="8" t="s">
        <v>1206</v>
      </c>
      <c r="K12" s="16" t="s">
        <v>548</v>
      </c>
      <c r="L12" s="17" t="s">
        <v>477</v>
      </c>
      <c r="M12" s="17" t="s">
        <v>518</v>
      </c>
      <c r="N12" s="17" t="s">
        <v>547</v>
      </c>
      <c r="O12" s="17" t="s">
        <v>549</v>
      </c>
      <c r="P12" s="1"/>
    </row>
    <row r="13" spans="1:17" ht="14.25">
      <c r="A13" s="1">
        <f t="shared" si="0"/>
        <v>8</v>
      </c>
      <c r="B13" s="1">
        <v>1214</v>
      </c>
      <c r="C13" s="8" t="s">
        <v>615</v>
      </c>
      <c r="D13" s="8" t="s">
        <v>49</v>
      </c>
      <c r="E13" s="8" t="s">
        <v>49</v>
      </c>
      <c r="F13" s="23" t="s">
        <v>49</v>
      </c>
      <c r="G13" s="1">
        <v>0.25</v>
      </c>
      <c r="H13" s="1">
        <v>0</v>
      </c>
      <c r="I13" s="36" t="str">
        <f>+I11</f>
        <v>N12</v>
      </c>
      <c r="J13" s="8" t="s">
        <v>545</v>
      </c>
      <c r="K13" s="16" t="s">
        <v>162</v>
      </c>
      <c r="L13" s="8" t="s">
        <v>523</v>
      </c>
      <c r="M13" s="1" t="s">
        <v>473</v>
      </c>
      <c r="N13" s="1" t="s">
        <v>521</v>
      </c>
      <c r="O13" s="16" t="s">
        <v>546</v>
      </c>
      <c r="P13" s="1"/>
    </row>
    <row r="14" spans="1:17" ht="14.25">
      <c r="A14" s="1">
        <f t="shared" si="0"/>
        <v>9</v>
      </c>
      <c r="B14" s="1">
        <v>1231</v>
      </c>
      <c r="C14" s="8" t="s">
        <v>616</v>
      </c>
      <c r="D14" s="8" t="s">
        <v>164</v>
      </c>
      <c r="E14" s="8" t="s">
        <v>164</v>
      </c>
      <c r="F14" s="23" t="s">
        <v>164</v>
      </c>
      <c r="G14" s="1">
        <v>0.25</v>
      </c>
      <c r="H14" s="1">
        <v>0.25</v>
      </c>
      <c r="I14" s="36" t="s">
        <v>213</v>
      </c>
      <c r="J14" s="20" t="s">
        <v>544</v>
      </c>
      <c r="K14" s="1" t="s">
        <v>58</v>
      </c>
      <c r="L14" s="16" t="s">
        <v>519</v>
      </c>
      <c r="M14" s="1" t="s">
        <v>522</v>
      </c>
      <c r="N14" s="1" t="s">
        <v>622</v>
      </c>
      <c r="O14" s="16" t="s">
        <v>553</v>
      </c>
      <c r="P14" s="1"/>
    </row>
    <row r="15" spans="1:17" ht="14.25">
      <c r="A15" s="1">
        <f t="shared" si="0"/>
        <v>10</v>
      </c>
      <c r="B15" s="38">
        <v>1232</v>
      </c>
      <c r="C15" s="8" t="s">
        <v>163</v>
      </c>
      <c r="D15" s="1" t="s">
        <v>621</v>
      </c>
      <c r="E15" s="1" t="s">
        <v>621</v>
      </c>
      <c r="F15" s="3" t="s">
        <v>621</v>
      </c>
      <c r="G15" s="1">
        <v>0.25</v>
      </c>
      <c r="H15" s="1">
        <v>0</v>
      </c>
      <c r="I15" s="36" t="str">
        <f>+I14</f>
        <v>N13</v>
      </c>
      <c r="J15" s="20" t="s">
        <v>528</v>
      </c>
      <c r="K15" s="16" t="s">
        <v>542</v>
      </c>
      <c r="L15" s="1" t="s">
        <v>472</v>
      </c>
      <c r="M15" s="1" t="s">
        <v>623</v>
      </c>
      <c r="N15" s="1" t="s">
        <v>543</v>
      </c>
      <c r="O15" s="17" t="s">
        <v>554</v>
      </c>
      <c r="P15" s="38" t="s">
        <v>655</v>
      </c>
    </row>
    <row r="16" spans="1:17" ht="14.25">
      <c r="A16" s="1">
        <f t="shared" si="0"/>
        <v>11</v>
      </c>
      <c r="B16" s="38">
        <v>1241</v>
      </c>
      <c r="C16" s="8" t="s">
        <v>673</v>
      </c>
      <c r="D16" s="8" t="s">
        <v>165</v>
      </c>
      <c r="E16" s="8" t="s">
        <v>165</v>
      </c>
      <c r="F16" s="23" t="s">
        <v>626</v>
      </c>
      <c r="G16" s="1">
        <v>0.25</v>
      </c>
      <c r="H16" s="1">
        <v>0</v>
      </c>
      <c r="I16" s="36" t="s">
        <v>672</v>
      </c>
      <c r="J16" s="20" t="s">
        <v>674</v>
      </c>
      <c r="K16" s="16" t="s">
        <v>625</v>
      </c>
      <c r="L16" s="17" t="s">
        <v>620</v>
      </c>
      <c r="M16" s="1" t="s">
        <v>675</v>
      </c>
      <c r="N16" s="1" t="s">
        <v>676</v>
      </c>
      <c r="O16" s="17" t="s">
        <v>624</v>
      </c>
      <c r="P16" s="38" t="s">
        <v>682</v>
      </c>
    </row>
    <row r="17" spans="1:17" ht="12.75">
      <c r="D17" s="8"/>
      <c r="E17" s="8"/>
      <c r="F17" s="23"/>
      <c r="P17" s="1"/>
    </row>
    <row r="18" spans="1:17" ht="14.25">
      <c r="A18" s="1" t="s">
        <v>50</v>
      </c>
      <c r="D18" s="8"/>
      <c r="E18" s="8"/>
      <c r="F18" s="23"/>
      <c r="J18" s="39" t="s">
        <v>217</v>
      </c>
      <c r="P18" s="1"/>
    </row>
    <row r="19" spans="1:17" ht="14.25">
      <c r="A19" s="1">
        <f>+A16+1</f>
        <v>12</v>
      </c>
      <c r="B19" s="38">
        <v>1301</v>
      </c>
      <c r="C19" s="23" t="s">
        <v>659</v>
      </c>
      <c r="D19" s="23" t="s">
        <v>466</v>
      </c>
      <c r="E19" s="8" t="s">
        <v>150</v>
      </c>
      <c r="F19" s="23" t="s">
        <v>649</v>
      </c>
      <c r="G19" s="1">
        <v>0.5</v>
      </c>
      <c r="H19" s="1">
        <v>0.25</v>
      </c>
      <c r="I19" s="1" t="str">
        <f>IF(ISBLANK(B19),"",CONCATENATE("N",TEXT(B19,0),""))</f>
        <v>N1301</v>
      </c>
      <c r="J19" s="40" t="s">
        <v>658</v>
      </c>
      <c r="K19" s="17" t="s">
        <v>226</v>
      </c>
      <c r="L19" s="17" t="s">
        <v>157</v>
      </c>
      <c r="M19" s="17" t="s">
        <v>660</v>
      </c>
      <c r="N19" s="17" t="s">
        <v>527</v>
      </c>
      <c r="O19" s="16" t="s">
        <v>551</v>
      </c>
      <c r="P19" s="38" t="s">
        <v>657</v>
      </c>
    </row>
    <row r="20" spans="1:17" ht="14.25">
      <c r="A20" s="1">
        <f>+A19+1</f>
        <v>13</v>
      </c>
      <c r="B20" s="3">
        <v>1302</v>
      </c>
      <c r="C20" s="8" t="s">
        <v>633</v>
      </c>
      <c r="D20" s="8" t="s">
        <v>51</v>
      </c>
      <c r="E20" s="8" t="s">
        <v>112</v>
      </c>
      <c r="F20" s="23" t="s">
        <v>64</v>
      </c>
      <c r="G20" s="1">
        <v>0.25</v>
      </c>
      <c r="H20" s="1">
        <v>0</v>
      </c>
      <c r="J20" s="20" t="s">
        <v>640</v>
      </c>
      <c r="K20" s="16" t="s">
        <v>629</v>
      </c>
      <c r="L20" s="17" t="s">
        <v>638</v>
      </c>
      <c r="M20" s="17" t="s">
        <v>631</v>
      </c>
      <c r="P20" s="38" t="s">
        <v>654</v>
      </c>
    </row>
    <row r="21" spans="1:17" ht="14.25">
      <c r="A21" s="1">
        <f t="shared" ref="A21:A26" si="1">+A20+1</f>
        <v>14</v>
      </c>
      <c r="B21" s="3">
        <v>1303</v>
      </c>
      <c r="C21" s="8" t="s">
        <v>662</v>
      </c>
      <c r="D21" s="8" t="s">
        <v>627</v>
      </c>
      <c r="E21" s="8" t="s">
        <v>627</v>
      </c>
      <c r="F21" s="23" t="s">
        <v>51</v>
      </c>
      <c r="G21" s="1">
        <v>0.5</v>
      </c>
      <c r="H21" s="1">
        <v>0.25</v>
      </c>
      <c r="J21" s="20" t="s">
        <v>628</v>
      </c>
      <c r="K21" s="16" t="s">
        <v>630</v>
      </c>
      <c r="L21" s="1" t="s">
        <v>478</v>
      </c>
      <c r="M21" s="17" t="s">
        <v>632</v>
      </c>
      <c r="O21" s="17" t="s">
        <v>550</v>
      </c>
      <c r="P21" s="3"/>
    </row>
    <row r="22" spans="1:17" ht="14.25">
      <c r="A22" s="1">
        <f t="shared" si="1"/>
        <v>15</v>
      </c>
      <c r="B22" s="3">
        <v>1321</v>
      </c>
      <c r="C22" s="51" t="s">
        <v>1130</v>
      </c>
      <c r="D22" s="8" t="s">
        <v>468</v>
      </c>
      <c r="E22" s="8" t="s">
        <v>666</v>
      </c>
      <c r="F22" s="23" t="s">
        <v>468</v>
      </c>
      <c r="G22" s="1">
        <v>0</v>
      </c>
      <c r="H22" s="1">
        <v>0</v>
      </c>
      <c r="J22" s="69" t="s">
        <v>1131</v>
      </c>
      <c r="K22" s="1" t="s">
        <v>668</v>
      </c>
      <c r="L22" s="1" t="s">
        <v>669</v>
      </c>
      <c r="M22" s="17" t="s">
        <v>671</v>
      </c>
      <c r="P22" s="1"/>
      <c r="Q22" s="38" t="s">
        <v>677</v>
      </c>
    </row>
    <row r="23" spans="1:17" ht="14.25">
      <c r="A23" s="1">
        <f t="shared" si="1"/>
        <v>16</v>
      </c>
      <c r="B23" s="3">
        <v>1322</v>
      </c>
      <c r="C23" s="8" t="s">
        <v>665</v>
      </c>
      <c r="D23" s="8" t="s">
        <v>667</v>
      </c>
      <c r="E23" s="8" t="s">
        <v>667</v>
      </c>
      <c r="F23" s="23" t="s">
        <v>667</v>
      </c>
      <c r="G23" s="1">
        <v>0.25</v>
      </c>
      <c r="H23" s="1">
        <v>0</v>
      </c>
      <c r="I23" s="1" t="str">
        <f>IF(ISBLANK(B23),"",CONCATENATE("N",TEXT(B23,0),""))</f>
        <v>N1322</v>
      </c>
      <c r="J23" s="23" t="s">
        <v>664</v>
      </c>
      <c r="K23" s="1" t="s">
        <v>517</v>
      </c>
      <c r="L23" s="16" t="s">
        <v>471</v>
      </c>
      <c r="M23" s="17" t="s">
        <v>670</v>
      </c>
      <c r="N23" s="1" t="s">
        <v>479</v>
      </c>
      <c r="O23" s="17" t="s">
        <v>158</v>
      </c>
      <c r="P23" s="1"/>
    </row>
    <row r="24" spans="1:17" ht="14.25">
      <c r="A24" s="1">
        <f t="shared" si="1"/>
        <v>17</v>
      </c>
      <c r="B24" s="3">
        <v>1331</v>
      </c>
      <c r="C24" s="8" t="s">
        <v>617</v>
      </c>
      <c r="D24" s="8" t="s">
        <v>467</v>
      </c>
      <c r="E24" s="8" t="s">
        <v>467</v>
      </c>
      <c r="F24" s="8" t="s">
        <v>467</v>
      </c>
      <c r="G24" s="1">
        <v>0.25</v>
      </c>
      <c r="H24" s="1">
        <v>0</v>
      </c>
      <c r="I24" s="1" t="str">
        <f>IF(ISBLANK(B24),"",CONCATENATE("N",TEXT(B24,0),""))</f>
        <v>N1331</v>
      </c>
      <c r="J24" s="23" t="s">
        <v>480</v>
      </c>
      <c r="K24" s="17" t="s">
        <v>469</v>
      </c>
      <c r="L24" s="16" t="s">
        <v>470</v>
      </c>
      <c r="M24" s="17" t="s">
        <v>541</v>
      </c>
      <c r="N24" s="17" t="s">
        <v>524</v>
      </c>
      <c r="O24" s="17" t="s">
        <v>525</v>
      </c>
      <c r="P24" s="1"/>
    </row>
    <row r="25" spans="1:17" ht="14.25">
      <c r="A25" s="1">
        <f t="shared" si="1"/>
        <v>18</v>
      </c>
      <c r="B25" s="1">
        <v>1341</v>
      </c>
      <c r="C25" s="8" t="s">
        <v>618</v>
      </c>
      <c r="D25" s="8" t="s">
        <v>52</v>
      </c>
      <c r="E25" s="8" t="s">
        <v>52</v>
      </c>
      <c r="F25" s="8" t="s">
        <v>52</v>
      </c>
      <c r="G25" s="1">
        <v>0</v>
      </c>
      <c r="H25" s="1">
        <v>0</v>
      </c>
      <c r="J25" s="20" t="s">
        <v>161</v>
      </c>
      <c r="K25" s="20" t="s">
        <v>218</v>
      </c>
      <c r="L25" s="17" t="s">
        <v>159</v>
      </c>
      <c r="M25" s="17" t="s">
        <v>227</v>
      </c>
      <c r="P25" s="1"/>
    </row>
    <row r="26" spans="1:17">
      <c r="A26" s="1">
        <f t="shared" si="1"/>
        <v>19</v>
      </c>
      <c r="B26" s="1">
        <v>1342</v>
      </c>
      <c r="C26" s="8" t="s">
        <v>619</v>
      </c>
      <c r="D26" s="1" t="s">
        <v>53</v>
      </c>
      <c r="E26" s="1" t="s">
        <v>53</v>
      </c>
      <c r="F26" s="1" t="s">
        <v>53</v>
      </c>
      <c r="G26" s="1">
        <v>0</v>
      </c>
      <c r="H26" s="11">
        <v>1</v>
      </c>
      <c r="J26" s="20" t="s">
        <v>219</v>
      </c>
      <c r="K26" s="41" t="s">
        <v>220</v>
      </c>
      <c r="L26" s="20" t="s">
        <v>221</v>
      </c>
      <c r="M26" s="17" t="s">
        <v>160</v>
      </c>
    </row>
    <row r="28" spans="1:17">
      <c r="B28" s="11"/>
      <c r="C28" s="9"/>
      <c r="D28" s="11"/>
      <c r="E28" s="11"/>
      <c r="F28" s="11"/>
      <c r="G28" s="11" t="s">
        <v>59</v>
      </c>
      <c r="H28" s="11" t="s">
        <v>60</v>
      </c>
      <c r="I28" s="11"/>
      <c r="J28" s="9"/>
      <c r="K28" s="11"/>
      <c r="L28" s="11"/>
      <c r="M28" s="11"/>
      <c r="N28" s="11"/>
    </row>
    <row r="29" spans="1:17">
      <c r="A29" s="1">
        <f>+A26+1</f>
        <v>20</v>
      </c>
      <c r="B29" s="11">
        <v>1000</v>
      </c>
      <c r="C29" s="9" t="s">
        <v>61</v>
      </c>
      <c r="D29" s="11" t="s">
        <v>250</v>
      </c>
      <c r="E29" s="11" t="s">
        <v>11</v>
      </c>
      <c r="F29" s="11"/>
      <c r="G29" s="11">
        <v>1</v>
      </c>
      <c r="H29" s="11">
        <v>1</v>
      </c>
      <c r="I29" s="11"/>
      <c r="J29" s="42" t="s">
        <v>62</v>
      </c>
      <c r="K29" s="11"/>
      <c r="L29" s="11"/>
      <c r="M29" s="11"/>
      <c r="N29" s="11"/>
    </row>
    <row r="30" spans="1:17">
      <c r="B30" s="11"/>
      <c r="C30" s="43"/>
      <c r="D30" s="11"/>
      <c r="E30" s="11"/>
      <c r="F30" s="11"/>
      <c r="G30" s="27" t="s">
        <v>63</v>
      </c>
      <c r="H30" s="27" t="s">
        <v>63</v>
      </c>
      <c r="I30" s="11"/>
      <c r="J30" s="43"/>
      <c r="K30" s="11"/>
      <c r="L30" s="11"/>
      <c r="M30" s="11"/>
      <c r="N30" s="11"/>
    </row>
    <row r="31" spans="1:17" ht="12.75">
      <c r="D31" s="8"/>
      <c r="E31" s="23"/>
      <c r="F31" s="23"/>
      <c r="J31" s="1"/>
      <c r="P31" s="1"/>
    </row>
    <row r="32" spans="1:17" ht="12.75">
      <c r="A32" s="1">
        <f>+A29+1</f>
        <v>21</v>
      </c>
      <c r="B32" s="11">
        <v>0</v>
      </c>
      <c r="D32" s="8"/>
      <c r="E32" s="8"/>
      <c r="F32" s="27" t="s">
        <v>76</v>
      </c>
      <c r="J32" s="1" t="str">
        <f>IF(ISBLANK(C32), "", C32)</f>
        <v/>
      </c>
      <c r="P32" s="1"/>
    </row>
    <row r="36" spans="3:3">
      <c r="C36" s="44" t="s">
        <v>441</v>
      </c>
    </row>
    <row r="37" spans="3:3">
      <c r="C37" s="45" t="s">
        <v>442</v>
      </c>
    </row>
    <row r="38" spans="3:3">
      <c r="C38" s="46" t="s">
        <v>443</v>
      </c>
    </row>
    <row r="39" spans="3:3">
      <c r="C39" s="47" t="s">
        <v>474</v>
      </c>
    </row>
  </sheetData>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Q156"/>
  <sheetViews>
    <sheetView zoomScaleNormal="100" workbookViewId="0">
      <pane xSplit="2" ySplit="1" topLeftCell="C2" activePane="bottomRight" state="frozen"/>
      <selection pane="topRight" activeCell="C1" sqref="C1"/>
      <selection pane="bottomLeft" activeCell="A2" sqref="A2"/>
      <selection pane="bottomRight" activeCell="I16" sqref="I16"/>
    </sheetView>
  </sheetViews>
  <sheetFormatPr defaultColWidth="7.125" defaultRowHeight="12.75"/>
  <cols>
    <col min="1" max="1" width="7.125" style="1" customWidth="1"/>
    <col min="2" max="2" width="5.625" style="1" customWidth="1"/>
    <col min="3" max="3" width="30.625" style="8" customWidth="1"/>
    <col min="4" max="4" width="5.625" style="8" customWidth="1"/>
    <col min="5" max="5" width="6.625" style="8" customWidth="1"/>
    <col min="6" max="6" width="7.625" style="8" customWidth="1"/>
    <col min="7" max="9" width="7.625" style="1" customWidth="1"/>
    <col min="10" max="10" width="27.25" style="10" customWidth="1"/>
    <col min="11" max="16" width="20.625" style="1" customWidth="1"/>
    <col min="17" max="17" width="17.625" style="1" customWidth="1"/>
    <col min="18" max="16384" width="7.125" style="1"/>
  </cols>
  <sheetData>
    <row r="1" spans="1:17" ht="14.25">
      <c r="A1" s="1" t="s">
        <v>12</v>
      </c>
      <c r="B1" s="1" t="s">
        <v>13</v>
      </c>
      <c r="C1" s="8" t="s">
        <v>2</v>
      </c>
      <c r="D1" s="8" t="s">
        <v>14</v>
      </c>
      <c r="E1" s="8" t="s">
        <v>15</v>
      </c>
      <c r="F1" s="9" t="s">
        <v>42</v>
      </c>
      <c r="G1" s="1" t="s">
        <v>16</v>
      </c>
      <c r="H1" s="1" t="s">
        <v>17</v>
      </c>
      <c r="I1" s="8" t="s">
        <v>18</v>
      </c>
      <c r="J1" s="10" t="s">
        <v>65</v>
      </c>
      <c r="K1" s="1" t="s">
        <v>1180</v>
      </c>
      <c r="L1" s="1" t="s">
        <v>67</v>
      </c>
      <c r="M1" s="11" t="s">
        <v>258</v>
      </c>
      <c r="N1" s="11" t="s">
        <v>259</v>
      </c>
      <c r="O1" s="1" t="s">
        <v>260</v>
      </c>
      <c r="P1" s="1" t="s">
        <v>261</v>
      </c>
      <c r="Q1" s="1" t="s">
        <v>608</v>
      </c>
    </row>
    <row r="2" spans="1:17" ht="14.25">
      <c r="A2" s="2" t="s">
        <v>72</v>
      </c>
      <c r="G2" s="1" t="str">
        <f t="shared" ref="G2:H5" si="0">IF(ISBLANK(D2),"",IF(ISNUMBER(VALUE(RIGHT(D2,1))),"",IF(UPPER(RIGHT(D2,7))="UNKNOWN","",0.1)))</f>
        <v/>
      </c>
      <c r="H2" s="1" t="str">
        <f t="shared" si="0"/>
        <v/>
      </c>
      <c r="I2" s="1" t="str">
        <f>IF(ISBLANK(B2),"",CONCATENATE("N",TEXT(B2,0),"P1"))</f>
        <v/>
      </c>
      <c r="J2" s="64" t="s">
        <v>683</v>
      </c>
      <c r="K2" s="1" t="str">
        <f t="shared" ref="K2:L5" si="1">IF(UPPER(RIGHT(D2,7))="UNKNOWN","暫無解答",IF(ISBLANK(D2),"",IF(ISNUMBER(VALUE(RIGHT(D2,1))),"",D2)))</f>
        <v/>
      </c>
      <c r="L2" s="1" t="str">
        <f t="shared" si="1"/>
        <v/>
      </c>
    </row>
    <row r="3" spans="1:17" ht="14.25">
      <c r="A3" s="1">
        <v>1</v>
      </c>
      <c r="B3" s="1">
        <v>1</v>
      </c>
      <c r="C3" s="51" t="s">
        <v>1150</v>
      </c>
      <c r="D3" s="8" t="s">
        <v>19</v>
      </c>
      <c r="E3" s="8" t="s">
        <v>28</v>
      </c>
      <c r="F3" s="8" t="s">
        <v>19</v>
      </c>
      <c r="G3" s="1">
        <v>0</v>
      </c>
      <c r="H3" s="1">
        <v>0</v>
      </c>
      <c r="I3" s="1" t="s">
        <v>234</v>
      </c>
      <c r="J3" s="38" t="s">
        <v>1151</v>
      </c>
      <c r="K3" s="1" t="s">
        <v>684</v>
      </c>
      <c r="L3" s="1" t="s">
        <v>685</v>
      </c>
      <c r="M3" s="1" t="s">
        <v>686</v>
      </c>
      <c r="N3" s="1" t="s">
        <v>526</v>
      </c>
      <c r="O3" s="1" t="s">
        <v>687</v>
      </c>
      <c r="P3" s="1" t="s">
        <v>688</v>
      </c>
      <c r="Q3" s="38" t="s">
        <v>661</v>
      </c>
    </row>
    <row r="4" spans="1:17">
      <c r="J4" s="1"/>
    </row>
    <row r="5" spans="1:17" ht="14.25">
      <c r="A5" s="3" t="s">
        <v>444</v>
      </c>
      <c r="B5" s="3"/>
      <c r="C5" s="23"/>
      <c r="D5" s="23"/>
      <c r="E5" s="23"/>
      <c r="G5" s="1" t="str">
        <f t="shared" si="0"/>
        <v/>
      </c>
      <c r="H5" s="1" t="str">
        <f t="shared" si="0"/>
        <v/>
      </c>
      <c r="J5" s="65" t="s">
        <v>689</v>
      </c>
      <c r="K5" s="1" t="str">
        <f t="shared" si="1"/>
        <v/>
      </c>
      <c r="L5" s="1" t="str">
        <f t="shared" si="1"/>
        <v/>
      </c>
    </row>
    <row r="6" spans="1:17" ht="14.25">
      <c r="A6" s="1">
        <f>+A3+1</f>
        <v>2</v>
      </c>
      <c r="B6" s="1">
        <v>1101</v>
      </c>
      <c r="C6" s="8" t="s">
        <v>81</v>
      </c>
      <c r="D6" s="8" t="s">
        <v>82</v>
      </c>
      <c r="E6" s="8" t="s">
        <v>32</v>
      </c>
      <c r="G6" s="1">
        <v>0.2</v>
      </c>
      <c r="H6" s="1">
        <v>0.2</v>
      </c>
      <c r="I6" s="1" t="str">
        <f>IF(ISBLANK(B6),"",CONCATENATE("N",TEXT(B6,0),""))</f>
        <v>N1101</v>
      </c>
      <c r="J6" s="1" t="s">
        <v>690</v>
      </c>
      <c r="K6" s="1" t="s">
        <v>691</v>
      </c>
      <c r="L6" s="1" t="s">
        <v>692</v>
      </c>
      <c r="M6" s="1" t="s">
        <v>693</v>
      </c>
      <c r="N6" s="1" t="s">
        <v>694</v>
      </c>
    </row>
    <row r="7" spans="1:17" ht="14.25">
      <c r="A7" s="1">
        <f>+A6+1</f>
        <v>3</v>
      </c>
      <c r="B7" s="1">
        <v>1102</v>
      </c>
      <c r="C7" s="51" t="s">
        <v>1152</v>
      </c>
      <c r="D7" s="8" t="s">
        <v>82</v>
      </c>
      <c r="E7" s="8" t="s">
        <v>82</v>
      </c>
      <c r="F7" s="23" t="s">
        <v>82</v>
      </c>
      <c r="G7" s="1">
        <v>0.2</v>
      </c>
      <c r="H7" s="1">
        <v>0</v>
      </c>
      <c r="I7" s="1" t="str">
        <f>IF(ISBLANK(B7),"",CONCATENATE("N",TEXT(B7,0),""))</f>
        <v>N1102</v>
      </c>
      <c r="J7" s="38" t="s">
        <v>1196</v>
      </c>
      <c r="K7" s="1" t="s">
        <v>696</v>
      </c>
      <c r="L7" s="17" t="s">
        <v>1197</v>
      </c>
      <c r="M7" s="1" t="s">
        <v>697</v>
      </c>
      <c r="N7" s="1" t="s">
        <v>698</v>
      </c>
      <c r="Q7" s="38" t="s">
        <v>695</v>
      </c>
    </row>
    <row r="8" spans="1:17" ht="14.25">
      <c r="A8" s="1">
        <f>+A7+1</f>
        <v>4</v>
      </c>
      <c r="B8" s="38">
        <v>1103</v>
      </c>
      <c r="C8" s="51" t="s">
        <v>1153</v>
      </c>
      <c r="D8" s="8" t="s">
        <v>187</v>
      </c>
      <c r="E8" s="8" t="s">
        <v>187</v>
      </c>
      <c r="F8" s="23" t="s">
        <v>187</v>
      </c>
      <c r="G8" s="1">
        <v>0.8</v>
      </c>
      <c r="H8" s="1">
        <v>0.2</v>
      </c>
      <c r="I8" s="1" t="str">
        <f>IF(ISBLANK(B8),"",CONCATENATE("N",TEXT(B8,0),""))</f>
        <v>N1103</v>
      </c>
      <c r="J8" s="38" t="s">
        <v>1154</v>
      </c>
      <c r="K8" s="1" t="s">
        <v>699</v>
      </c>
      <c r="L8" s="1" t="s">
        <v>92</v>
      </c>
      <c r="M8" s="1" t="s">
        <v>700</v>
      </c>
      <c r="N8" s="1" t="s">
        <v>701</v>
      </c>
      <c r="P8" s="38" t="s">
        <v>656</v>
      </c>
      <c r="Q8" s="38" t="s">
        <v>678</v>
      </c>
    </row>
    <row r="9" spans="1:17" ht="14.25">
      <c r="A9" s="1">
        <f>+A8+1</f>
        <v>5</v>
      </c>
      <c r="B9" s="38">
        <v>1104</v>
      </c>
      <c r="C9" s="8" t="s">
        <v>192</v>
      </c>
      <c r="D9" s="8" t="s">
        <v>21</v>
      </c>
      <c r="E9" s="8" t="s">
        <v>21</v>
      </c>
      <c r="F9" s="23" t="s">
        <v>21</v>
      </c>
      <c r="G9" s="1">
        <v>0.8</v>
      </c>
      <c r="H9" s="1">
        <v>0.2</v>
      </c>
      <c r="I9" s="1" t="str">
        <f>IF(ISBLANK(B9),"",CONCATENATE("N",TEXT(B9,0),""))</f>
        <v>N1104</v>
      </c>
      <c r="J9" s="1" t="s">
        <v>702</v>
      </c>
      <c r="K9" s="1" t="s">
        <v>703</v>
      </c>
      <c r="L9" s="1" t="s">
        <v>704</v>
      </c>
      <c r="M9" s="1" t="s">
        <v>705</v>
      </c>
      <c r="N9" s="1" t="s">
        <v>706</v>
      </c>
      <c r="O9" s="1" t="s">
        <v>707</v>
      </c>
      <c r="P9" s="38" t="s">
        <v>708</v>
      </c>
    </row>
    <row r="10" spans="1:17" ht="14.25">
      <c r="B10" s="11"/>
      <c r="C10" s="11"/>
      <c r="D10" s="11"/>
      <c r="E10" s="11"/>
      <c r="F10" s="11"/>
      <c r="G10" s="11" t="s">
        <v>59</v>
      </c>
      <c r="H10" s="11" t="s">
        <v>60</v>
      </c>
      <c r="I10" s="11"/>
      <c r="J10" s="11"/>
      <c r="K10" s="11"/>
      <c r="L10" s="11"/>
      <c r="M10" s="11"/>
      <c r="N10" s="11"/>
    </row>
    <row r="11" spans="1:17" ht="14.25">
      <c r="A11" s="1">
        <f>+A9+1</f>
        <v>6</v>
      </c>
      <c r="B11" s="11">
        <v>1100</v>
      </c>
      <c r="C11" s="9" t="s">
        <v>711</v>
      </c>
      <c r="D11" s="11" t="s">
        <v>712</v>
      </c>
      <c r="E11" s="11" t="s">
        <v>11</v>
      </c>
      <c r="F11" s="11"/>
      <c r="G11" s="11">
        <v>1</v>
      </c>
      <c r="H11" s="11">
        <v>1</v>
      </c>
      <c r="I11" s="11"/>
      <c r="J11" s="27" t="s">
        <v>713</v>
      </c>
      <c r="K11" s="11"/>
      <c r="L11" s="11"/>
      <c r="M11" s="11"/>
      <c r="N11" s="11"/>
    </row>
    <row r="12" spans="1:17" ht="14.25">
      <c r="B12" s="11"/>
      <c r="C12" s="11"/>
      <c r="D12" s="11"/>
      <c r="E12" s="11"/>
      <c r="F12" s="11"/>
      <c r="G12" s="27" t="s">
        <v>714</v>
      </c>
      <c r="H12" s="27" t="s">
        <v>714</v>
      </c>
      <c r="I12" s="11"/>
      <c r="J12" s="11"/>
      <c r="K12" s="11"/>
      <c r="L12" s="9"/>
      <c r="M12" s="11"/>
      <c r="N12" s="11"/>
    </row>
    <row r="13" spans="1:17">
      <c r="J13" s="1"/>
    </row>
    <row r="14" spans="1:17" ht="14.25">
      <c r="A14" s="1" t="s">
        <v>715</v>
      </c>
      <c r="J14" s="65" t="s">
        <v>716</v>
      </c>
    </row>
    <row r="15" spans="1:17" ht="14.25">
      <c r="A15" s="1">
        <f>+A11+1</f>
        <v>7</v>
      </c>
      <c r="B15" s="1">
        <v>1201</v>
      </c>
      <c r="C15" s="51" t="s">
        <v>717</v>
      </c>
      <c r="D15" s="8" t="s">
        <v>718</v>
      </c>
      <c r="E15" s="8" t="s">
        <v>718</v>
      </c>
      <c r="F15" s="8" t="s">
        <v>718</v>
      </c>
      <c r="G15" s="1">
        <v>0.8</v>
      </c>
      <c r="H15" s="1">
        <v>0.5</v>
      </c>
      <c r="I15" s="1" t="str">
        <f>IF(ISBLANK(B15),"",CONCATENATE("N",TEXT(B15,0),""))</f>
        <v>N1201</v>
      </c>
      <c r="J15" s="66" t="s">
        <v>719</v>
      </c>
      <c r="K15" s="1" t="s">
        <v>720</v>
      </c>
      <c r="L15" s="1" t="s">
        <v>721</v>
      </c>
      <c r="M15" s="50" t="s">
        <v>722</v>
      </c>
      <c r="N15" s="1" t="s">
        <v>723</v>
      </c>
      <c r="O15" s="1" t="s">
        <v>724</v>
      </c>
      <c r="Q15" s="36" t="s">
        <v>1177</v>
      </c>
    </row>
    <row r="16" spans="1:17" ht="14.25">
      <c r="A16" s="1">
        <f>+A15+1</f>
        <v>8</v>
      </c>
      <c r="B16" s="1">
        <v>1202</v>
      </c>
      <c r="C16" s="51" t="s">
        <v>1155</v>
      </c>
      <c r="D16" s="8" t="s">
        <v>725</v>
      </c>
      <c r="E16" s="1" t="s">
        <v>725</v>
      </c>
      <c r="F16" s="1" t="s">
        <v>725</v>
      </c>
      <c r="G16" s="1">
        <v>0.8</v>
      </c>
      <c r="H16" s="1">
        <v>0.5</v>
      </c>
      <c r="I16" s="36" t="str">
        <f>+SiteEvaluation!I14</f>
        <v>N13</v>
      </c>
      <c r="J16" s="66" t="s">
        <v>1156</v>
      </c>
      <c r="K16" s="1" t="s">
        <v>727</v>
      </c>
      <c r="L16" s="1" t="s">
        <v>728</v>
      </c>
      <c r="M16" s="1" t="s">
        <v>729</v>
      </c>
      <c r="N16" s="1" t="s">
        <v>730</v>
      </c>
      <c r="P16" s="3"/>
      <c r="Q16" s="38" t="s">
        <v>726</v>
      </c>
    </row>
    <row r="17" spans="1:17" ht="14.25">
      <c r="A17" s="1">
        <f>+A16+1</f>
        <v>9</v>
      </c>
      <c r="B17" s="1">
        <v>1203</v>
      </c>
      <c r="C17" s="8" t="s">
        <v>731</v>
      </c>
      <c r="D17" s="8" t="s">
        <v>732</v>
      </c>
      <c r="E17" s="1" t="s">
        <v>732</v>
      </c>
      <c r="F17" s="1" t="s">
        <v>732</v>
      </c>
      <c r="G17" s="1">
        <v>1</v>
      </c>
      <c r="H17" s="1">
        <v>0.2</v>
      </c>
      <c r="I17" s="1" t="str">
        <f>IF(ISBLANK(B17),"",CONCATENATE("N",TEXT(B17,0),""))</f>
        <v>N1203</v>
      </c>
      <c r="J17" s="1" t="s">
        <v>733</v>
      </c>
      <c r="K17" s="1" t="s">
        <v>734</v>
      </c>
      <c r="L17" s="1" t="s">
        <v>735</v>
      </c>
      <c r="M17" s="1" t="s">
        <v>736</v>
      </c>
      <c r="N17" s="1" t="s">
        <v>723</v>
      </c>
      <c r="O17" s="1" t="s">
        <v>737</v>
      </c>
    </row>
    <row r="18" spans="1:17" ht="14.25">
      <c r="B18" s="11"/>
      <c r="C18" s="11"/>
      <c r="D18" s="11"/>
      <c r="E18" s="11"/>
      <c r="F18" s="11"/>
      <c r="G18" s="11" t="s">
        <v>59</v>
      </c>
      <c r="H18" s="11" t="s">
        <v>60</v>
      </c>
      <c r="I18" s="11"/>
      <c r="J18" s="11"/>
      <c r="K18" s="11"/>
      <c r="L18" s="11"/>
      <c r="M18" s="11"/>
      <c r="N18" s="11"/>
    </row>
    <row r="19" spans="1:17" ht="14.25">
      <c r="A19" s="1">
        <f>+A17+1</f>
        <v>10</v>
      </c>
      <c r="B19" s="11">
        <v>1200</v>
      </c>
      <c r="C19" s="9" t="s">
        <v>738</v>
      </c>
      <c r="D19" s="11" t="s">
        <v>739</v>
      </c>
      <c r="E19" s="11" t="s">
        <v>11</v>
      </c>
      <c r="F19" s="11"/>
      <c r="G19" s="11">
        <v>1</v>
      </c>
      <c r="H19" s="11">
        <v>1</v>
      </c>
      <c r="I19" s="11"/>
      <c r="J19" s="27" t="s">
        <v>740</v>
      </c>
      <c r="K19" s="11"/>
      <c r="L19" s="11"/>
      <c r="M19" s="9"/>
      <c r="N19" s="11"/>
    </row>
    <row r="20" spans="1:17" ht="14.25">
      <c r="B20" s="11"/>
      <c r="C20" s="11"/>
      <c r="D20" s="11"/>
      <c r="E20" s="11"/>
      <c r="F20" s="11"/>
      <c r="G20" s="27" t="s">
        <v>714</v>
      </c>
      <c r="H20" s="27" t="s">
        <v>714</v>
      </c>
      <c r="I20" s="11"/>
      <c r="J20" s="11"/>
      <c r="K20" s="11"/>
      <c r="L20" s="9"/>
      <c r="M20" s="11"/>
      <c r="N20" s="11"/>
    </row>
    <row r="21" spans="1:17">
      <c r="J21" s="1"/>
    </row>
    <row r="22" spans="1:17" ht="14.25">
      <c r="A22" s="2" t="s">
        <v>741</v>
      </c>
      <c r="G22" s="1" t="str">
        <f>IF(ISBLANK(D22),"",IF(ISNUMBER(VALUE(RIGHT(D22,1))),"",IF(UPPER(RIGHT(D22,7))="UNKNOWN","",0.1)))</f>
        <v/>
      </c>
      <c r="H22" s="1" t="str">
        <f>IF(ISBLANK(E22),"",IF(ISNUMBER(VALUE(RIGHT(E22,1))),"",IF(UPPER(RIGHT(E22,7))="UNKNOWN","",0.1)))</f>
        <v/>
      </c>
      <c r="J22" s="18" t="s">
        <v>742</v>
      </c>
      <c r="K22" s="1" t="str">
        <f>IF(UPPER(RIGHT(D22,7))="UNKNOWN","暫無解答",IF(ISBLANK(D22),"",IF(ISNUMBER(VALUE(RIGHT(D22,1))),"",D22)))</f>
        <v/>
      </c>
      <c r="L22" s="1" t="str">
        <f>IF(UPPER(RIGHT(E22,7))="UNKNOWN","暫無解答",IF(ISBLANK(E22),"",IF(ISNUMBER(VALUE(RIGHT(E22,1))),"",E22)))</f>
        <v/>
      </c>
    </row>
    <row r="23" spans="1:17" ht="14.25">
      <c r="A23" s="1">
        <f>+A19+1</f>
        <v>11</v>
      </c>
      <c r="B23" s="1">
        <v>2</v>
      </c>
      <c r="C23" s="51" t="s">
        <v>1132</v>
      </c>
      <c r="D23" s="8" t="s">
        <v>743</v>
      </c>
      <c r="E23" s="8" t="s">
        <v>744</v>
      </c>
      <c r="F23" s="8" t="s">
        <v>743</v>
      </c>
      <c r="G23" s="1">
        <v>0</v>
      </c>
      <c r="H23" s="1">
        <v>0</v>
      </c>
      <c r="I23" s="1" t="s">
        <v>745</v>
      </c>
      <c r="J23" s="38" t="s">
        <v>1133</v>
      </c>
      <c r="M23" s="50" t="s">
        <v>747</v>
      </c>
      <c r="Q23" s="38" t="s">
        <v>746</v>
      </c>
    </row>
    <row r="24" spans="1:17">
      <c r="J24" s="1"/>
    </row>
    <row r="25" spans="1:17" ht="14.25">
      <c r="A25" s="1" t="s">
        <v>748</v>
      </c>
      <c r="G25" s="1" t="str">
        <f>IF(ISBLANK(D25),"",IF(ISNUMBER(VALUE(RIGHT(D25,1))),"",IF(UPPER(RIGHT(D25,7))="UNKNOWN","",0.1)))</f>
        <v/>
      </c>
      <c r="H25" s="1" t="str">
        <f>IF(ISBLANK(E25),"",IF(ISNUMBER(VALUE(RIGHT(E25,1))),"",IF(UPPER(RIGHT(E25,7))="UNKNOWN","",0.1)))</f>
        <v/>
      </c>
      <c r="J25" s="65" t="s">
        <v>749</v>
      </c>
      <c r="K25" s="1" t="str">
        <f>IF(UPPER(RIGHT(D25,7))="UNKNOWN","暫無解答",IF(ISBLANK(D25),"",IF(ISNUMBER(VALUE(RIGHT(D25,1))),"",D25)))</f>
        <v/>
      </c>
      <c r="L25" s="1" t="str">
        <f>IF(UPPER(RIGHT(E25,7))="UNKNOWN","暫無解答",IF(ISBLANK(E25),"",IF(ISNUMBER(VALUE(RIGHT(E25,1))),"",E25)))</f>
        <v/>
      </c>
    </row>
    <row r="26" spans="1:17" ht="14.25">
      <c r="A26" s="1">
        <f>+A23+1</f>
        <v>12</v>
      </c>
      <c r="B26" s="1">
        <v>2101</v>
      </c>
      <c r="C26" s="8" t="s">
        <v>750</v>
      </c>
      <c r="D26" s="8" t="s">
        <v>751</v>
      </c>
      <c r="E26" s="8" t="s">
        <v>751</v>
      </c>
      <c r="F26" s="8" t="s">
        <v>751</v>
      </c>
      <c r="G26" s="1">
        <v>0.4</v>
      </c>
      <c r="H26" s="1">
        <v>0</v>
      </c>
      <c r="I26" s="1" t="str">
        <f>IF(ISBLANK(B26),"",CONCATENATE("N",TEXT(B26,0),""))</f>
        <v>N2101</v>
      </c>
      <c r="J26" s="1" t="s">
        <v>752</v>
      </c>
      <c r="K26" s="1" t="s">
        <v>753</v>
      </c>
      <c r="L26" s="1" t="s">
        <v>754</v>
      </c>
      <c r="M26" s="1" t="s">
        <v>755</v>
      </c>
      <c r="N26" s="1" t="s">
        <v>709</v>
      </c>
      <c r="O26" s="1" t="s">
        <v>756</v>
      </c>
    </row>
    <row r="27" spans="1:17" ht="14.25">
      <c r="A27" s="1">
        <f>+A26+1</f>
        <v>13</v>
      </c>
      <c r="B27" s="1">
        <v>2102</v>
      </c>
      <c r="C27" s="8" t="s">
        <v>757</v>
      </c>
      <c r="D27" s="8" t="s">
        <v>758</v>
      </c>
      <c r="E27" s="8" t="s">
        <v>758</v>
      </c>
      <c r="F27" s="8" t="s">
        <v>758</v>
      </c>
      <c r="G27" s="1">
        <v>0.4</v>
      </c>
      <c r="H27" s="1">
        <v>0</v>
      </c>
      <c r="I27" s="1" t="str">
        <f>IF(ISBLANK(B27),"",CONCATENATE("N",TEXT(B27,0),""))</f>
        <v>N2102</v>
      </c>
      <c r="J27" s="8" t="s">
        <v>759</v>
      </c>
      <c r="K27" s="1" t="s">
        <v>760</v>
      </c>
      <c r="L27" s="1" t="s">
        <v>761</v>
      </c>
      <c r="M27" s="1" t="s">
        <v>762</v>
      </c>
      <c r="N27" s="1" t="s">
        <v>709</v>
      </c>
      <c r="O27" s="1" t="s">
        <v>763</v>
      </c>
    </row>
    <row r="28" spans="1:17" ht="14.25">
      <c r="A28" s="1">
        <f>+A27+1</f>
        <v>14</v>
      </c>
      <c r="B28" s="1">
        <v>2103</v>
      </c>
      <c r="C28" s="8" t="s">
        <v>764</v>
      </c>
      <c r="D28" s="8" t="s">
        <v>765</v>
      </c>
      <c r="E28" s="8" t="s">
        <v>765</v>
      </c>
      <c r="F28" s="8" t="s">
        <v>765</v>
      </c>
      <c r="G28" s="1">
        <v>0.4</v>
      </c>
      <c r="H28" s="1">
        <v>0</v>
      </c>
      <c r="I28" s="1" t="str">
        <f>IF(ISBLANK(B28),"",CONCATENATE("N",TEXT(B28,0),""))</f>
        <v>N2103</v>
      </c>
      <c r="J28" s="8" t="s">
        <v>766</v>
      </c>
      <c r="K28" s="1" t="s">
        <v>767</v>
      </c>
      <c r="L28" s="1" t="s">
        <v>768</v>
      </c>
      <c r="M28" s="1" t="s">
        <v>769</v>
      </c>
      <c r="N28" s="1" t="s">
        <v>709</v>
      </c>
      <c r="O28" s="1" t="s">
        <v>770</v>
      </c>
    </row>
    <row r="29" spans="1:17" ht="14.25">
      <c r="A29" s="1">
        <f>+A28+1</f>
        <v>15</v>
      </c>
      <c r="B29" s="1">
        <v>2104</v>
      </c>
      <c r="C29" s="8" t="s">
        <v>771</v>
      </c>
      <c r="D29" s="8" t="s">
        <v>772</v>
      </c>
      <c r="E29" s="8" t="s">
        <v>772</v>
      </c>
      <c r="F29" s="8" t="s">
        <v>772</v>
      </c>
      <c r="G29" s="1">
        <v>0.4</v>
      </c>
      <c r="H29" s="1">
        <v>0</v>
      </c>
      <c r="I29" s="1" t="str">
        <f>IF(ISBLANK(B29),"",CONCATENATE("N",TEXT(B29,0),""))</f>
        <v>N2104</v>
      </c>
      <c r="J29" s="8" t="s">
        <v>773</v>
      </c>
      <c r="K29" s="1" t="s">
        <v>774</v>
      </c>
      <c r="L29" s="1" t="s">
        <v>775</v>
      </c>
      <c r="M29" s="1" t="s">
        <v>776</v>
      </c>
      <c r="N29" s="1" t="s">
        <v>709</v>
      </c>
      <c r="O29" s="1" t="s">
        <v>777</v>
      </c>
      <c r="P29" s="1" t="s">
        <v>778</v>
      </c>
    </row>
    <row r="30" spans="1:17" ht="14.25">
      <c r="A30" s="1">
        <f>+A29+1</f>
        <v>16</v>
      </c>
      <c r="B30" s="1">
        <v>2105</v>
      </c>
      <c r="C30" s="51" t="s">
        <v>1134</v>
      </c>
      <c r="D30" s="8" t="s">
        <v>779</v>
      </c>
      <c r="E30" s="8" t="s">
        <v>779</v>
      </c>
      <c r="F30" s="8" t="s">
        <v>779</v>
      </c>
      <c r="G30" s="1">
        <v>0.6</v>
      </c>
      <c r="H30" s="1">
        <v>0</v>
      </c>
      <c r="J30" s="38" t="s">
        <v>1135</v>
      </c>
      <c r="K30" s="1" t="s">
        <v>781</v>
      </c>
      <c r="L30" s="1" t="s">
        <v>782</v>
      </c>
      <c r="M30" s="1" t="s">
        <v>783</v>
      </c>
      <c r="O30" s="1" t="s">
        <v>784</v>
      </c>
      <c r="Q30" s="38" t="s">
        <v>780</v>
      </c>
    </row>
    <row r="31" spans="1:17" ht="14.25">
      <c r="B31" s="11"/>
      <c r="C31" s="11"/>
      <c r="D31" s="11"/>
      <c r="E31" s="11"/>
      <c r="F31" s="11"/>
      <c r="G31" s="11" t="s">
        <v>59</v>
      </c>
      <c r="H31" s="11" t="s">
        <v>60</v>
      </c>
      <c r="I31" s="11"/>
      <c r="J31" s="11"/>
      <c r="K31" s="11"/>
      <c r="L31" s="11"/>
      <c r="M31" s="11"/>
      <c r="N31" s="11"/>
    </row>
    <row r="32" spans="1:17" ht="14.25">
      <c r="A32" s="1">
        <f>+A30+1</f>
        <v>17</v>
      </c>
      <c r="B32" s="11">
        <v>2100</v>
      </c>
      <c r="C32" s="9" t="s">
        <v>785</v>
      </c>
      <c r="D32" s="11" t="s">
        <v>786</v>
      </c>
      <c r="E32" s="11" t="s">
        <v>11</v>
      </c>
      <c r="F32" s="11"/>
      <c r="G32" s="11">
        <v>1</v>
      </c>
      <c r="H32" s="11">
        <v>1</v>
      </c>
      <c r="I32" s="11"/>
      <c r="J32" s="27" t="s">
        <v>787</v>
      </c>
      <c r="K32" s="11"/>
      <c r="L32" s="11"/>
      <c r="M32" s="11"/>
      <c r="N32" s="11"/>
    </row>
    <row r="33" spans="1:17" ht="14.25">
      <c r="B33" s="11"/>
      <c r="C33" s="11"/>
      <c r="D33" s="11"/>
      <c r="E33" s="11"/>
      <c r="F33" s="11"/>
      <c r="G33" s="27" t="s">
        <v>714</v>
      </c>
      <c r="H33" s="27" t="s">
        <v>714</v>
      </c>
      <c r="I33" s="11"/>
      <c r="J33" s="11"/>
      <c r="K33" s="11"/>
      <c r="L33" s="9"/>
      <c r="M33" s="11"/>
      <c r="N33" s="11"/>
    </row>
    <row r="34" spans="1:17">
      <c r="J34" s="1"/>
    </row>
    <row r="35" spans="1:17" ht="14.25">
      <c r="A35" s="1" t="s">
        <v>788</v>
      </c>
      <c r="G35" s="1" t="str">
        <f>IF(ISBLANK(D35),"",IF(ISNUMBER(VALUE(RIGHT(D35,1))),"",IF(UPPER(RIGHT(D35,7))="UNKNOWN","",0.1)))</f>
        <v/>
      </c>
      <c r="H35" s="1" t="str">
        <f>IF(ISBLANK(E35),"",IF(ISNUMBER(VALUE(RIGHT(E35,1))),"",IF(UPPER(RIGHT(E35,7))="UNKNOWN","",0.1)))</f>
        <v/>
      </c>
      <c r="J35" s="65" t="s">
        <v>789</v>
      </c>
      <c r="K35" s="1" t="str">
        <f>IF(UPPER(RIGHT(D35,7))="UNKNOWN","暫無解答",IF(ISBLANK(D35),"",IF(ISNUMBER(VALUE(RIGHT(D35,1))),"",D35)))</f>
        <v/>
      </c>
      <c r="L35" s="1" t="str">
        <f>IF(UPPER(RIGHT(E35,7))="UNKNOWN","暫無解答",IF(ISBLANK(E35),"",IF(ISNUMBER(VALUE(RIGHT(E35,1))),"",E35)))</f>
        <v/>
      </c>
    </row>
    <row r="36" spans="1:17" ht="14.25">
      <c r="A36" s="1">
        <f>+A32+1</f>
        <v>18</v>
      </c>
      <c r="B36" s="1">
        <v>2201</v>
      </c>
      <c r="C36" s="8" t="s">
        <v>790</v>
      </c>
      <c r="D36" s="8" t="s">
        <v>791</v>
      </c>
      <c r="E36" s="8" t="s">
        <v>791</v>
      </c>
      <c r="F36" s="8" t="s">
        <v>791</v>
      </c>
      <c r="G36" s="1">
        <v>0.6</v>
      </c>
      <c r="H36" s="1">
        <v>0</v>
      </c>
      <c r="I36" s="1" t="str">
        <f>IF(ISBLANK(B36),"",CONCATENATE("N",TEXT(B36,0),""))</f>
        <v>N2201</v>
      </c>
      <c r="J36" s="1" t="s">
        <v>792</v>
      </c>
      <c r="K36" s="1" t="s">
        <v>793</v>
      </c>
      <c r="L36" s="1" t="s">
        <v>794</v>
      </c>
      <c r="M36" s="50" t="s">
        <v>795</v>
      </c>
      <c r="N36" s="50" t="s">
        <v>723</v>
      </c>
      <c r="O36" s="1" t="s">
        <v>796</v>
      </c>
    </row>
    <row r="37" spans="1:17" ht="14.25">
      <c r="A37" s="1">
        <f>+A36+1</f>
        <v>19</v>
      </c>
      <c r="B37" s="1">
        <v>2202</v>
      </c>
      <c r="C37" s="8" t="s">
        <v>797</v>
      </c>
      <c r="D37" s="8" t="s">
        <v>798</v>
      </c>
      <c r="E37" s="8" t="s">
        <v>798</v>
      </c>
      <c r="F37" s="8" t="s">
        <v>798</v>
      </c>
      <c r="G37" s="1">
        <v>0.6</v>
      </c>
      <c r="H37" s="1">
        <v>0</v>
      </c>
      <c r="I37" s="1" t="str">
        <f>IF(ISBLANK(B37),"",CONCATENATE("N",TEXT(B37,0),""))</f>
        <v>N2202</v>
      </c>
      <c r="J37" s="8" t="s">
        <v>799</v>
      </c>
      <c r="K37" s="1" t="s">
        <v>800</v>
      </c>
      <c r="L37" s="1" t="s">
        <v>801</v>
      </c>
      <c r="M37" s="1" t="s">
        <v>802</v>
      </c>
      <c r="N37" s="1" t="s">
        <v>723</v>
      </c>
      <c r="O37" s="1" t="s">
        <v>803</v>
      </c>
      <c r="P37" s="1" t="s">
        <v>804</v>
      </c>
    </row>
    <row r="38" spans="1:17" ht="14.25">
      <c r="A38" s="1">
        <f>+A37+1</f>
        <v>20</v>
      </c>
      <c r="B38" s="1">
        <v>2211</v>
      </c>
      <c r="C38" s="51" t="s">
        <v>1136</v>
      </c>
      <c r="D38" s="8" t="s">
        <v>805</v>
      </c>
      <c r="E38" s="8" t="s">
        <v>806</v>
      </c>
      <c r="F38" s="8" t="s">
        <v>805</v>
      </c>
      <c r="G38" s="1">
        <v>0.2</v>
      </c>
      <c r="H38" s="1">
        <v>0</v>
      </c>
      <c r="J38" s="38" t="s">
        <v>1137</v>
      </c>
      <c r="K38" s="1" t="s">
        <v>808</v>
      </c>
      <c r="L38" s="1" t="s">
        <v>809</v>
      </c>
      <c r="M38" s="1" t="s">
        <v>810</v>
      </c>
      <c r="O38" s="1" t="s">
        <v>811</v>
      </c>
      <c r="Q38" s="38" t="s">
        <v>807</v>
      </c>
    </row>
    <row r="39" spans="1:17" ht="14.25">
      <c r="A39" s="1">
        <f>+A38+1</f>
        <v>21</v>
      </c>
      <c r="B39" s="1">
        <v>2212</v>
      </c>
      <c r="C39" s="8" t="s">
        <v>812</v>
      </c>
      <c r="D39" s="8" t="s">
        <v>806</v>
      </c>
      <c r="E39" s="8" t="s">
        <v>806</v>
      </c>
      <c r="F39" s="8" t="s">
        <v>806</v>
      </c>
      <c r="G39" s="1">
        <v>0.4</v>
      </c>
      <c r="H39" s="1">
        <v>0</v>
      </c>
      <c r="J39" s="1" t="s">
        <v>813</v>
      </c>
      <c r="K39" s="1" t="s">
        <v>814</v>
      </c>
      <c r="L39" s="1" t="s">
        <v>815</v>
      </c>
      <c r="M39" s="1" t="s">
        <v>816</v>
      </c>
      <c r="O39" s="1" t="s">
        <v>811</v>
      </c>
    </row>
    <row r="40" spans="1:17" ht="14.25">
      <c r="A40" s="1">
        <f>+A39+1</f>
        <v>22</v>
      </c>
      <c r="B40" s="1">
        <v>2221</v>
      </c>
      <c r="C40" s="8" t="s">
        <v>817</v>
      </c>
      <c r="D40" s="8" t="s">
        <v>818</v>
      </c>
      <c r="E40" s="8" t="s">
        <v>818</v>
      </c>
      <c r="F40" s="8" t="s">
        <v>818</v>
      </c>
      <c r="G40" s="1">
        <v>0.8</v>
      </c>
      <c r="H40" s="1">
        <v>0</v>
      </c>
      <c r="I40" s="1" t="str">
        <f>IF(ISBLANK(B40),"",CONCATENATE("N",TEXT(B40,0),""))</f>
        <v>N2221</v>
      </c>
      <c r="J40" s="1" t="s">
        <v>819</v>
      </c>
      <c r="K40" s="1" t="s">
        <v>820</v>
      </c>
      <c r="L40" s="1" t="s">
        <v>821</v>
      </c>
      <c r="M40" s="1" t="s">
        <v>822</v>
      </c>
      <c r="N40" s="1" t="s">
        <v>823</v>
      </c>
      <c r="O40" s="1" t="s">
        <v>824</v>
      </c>
    </row>
    <row r="41" spans="1:17" ht="14.25">
      <c r="B41" s="11"/>
      <c r="C41" s="11"/>
      <c r="D41" s="11"/>
      <c r="E41" s="11"/>
      <c r="F41" s="11"/>
      <c r="G41" s="11" t="s">
        <v>59</v>
      </c>
      <c r="H41" s="11" t="s">
        <v>60</v>
      </c>
      <c r="I41" s="11"/>
      <c r="J41" s="11"/>
      <c r="K41" s="11"/>
      <c r="L41" s="11"/>
      <c r="M41" s="11"/>
      <c r="N41" s="11"/>
    </row>
    <row r="42" spans="1:17" ht="14.25">
      <c r="A42" s="1">
        <f>+A40+1</f>
        <v>23</v>
      </c>
      <c r="B42" s="11">
        <v>2200</v>
      </c>
      <c r="C42" s="9" t="s">
        <v>825</v>
      </c>
      <c r="D42" s="11" t="s">
        <v>826</v>
      </c>
      <c r="E42" s="11" t="s">
        <v>11</v>
      </c>
      <c r="F42" s="11"/>
      <c r="G42" s="11">
        <v>1</v>
      </c>
      <c r="H42" s="11">
        <v>1</v>
      </c>
      <c r="I42" s="11"/>
      <c r="J42" s="27" t="s">
        <v>827</v>
      </c>
      <c r="K42" s="11"/>
      <c r="L42" s="11"/>
      <c r="M42" s="11"/>
      <c r="N42" s="11"/>
    </row>
    <row r="43" spans="1:17" ht="14.25">
      <c r="B43" s="11"/>
      <c r="C43" s="11"/>
      <c r="D43" s="11"/>
      <c r="E43" s="11"/>
      <c r="F43" s="11"/>
      <c r="G43" s="27" t="s">
        <v>714</v>
      </c>
      <c r="H43" s="27" t="s">
        <v>714</v>
      </c>
      <c r="I43" s="11"/>
      <c r="J43" s="11"/>
      <c r="K43" s="11"/>
      <c r="L43" s="9"/>
      <c r="M43" s="11"/>
      <c r="N43" s="11"/>
    </row>
    <row r="44" spans="1:17">
      <c r="J44" s="8"/>
    </row>
    <row r="45" spans="1:17" ht="14.25">
      <c r="A45" s="1" t="s">
        <v>828</v>
      </c>
      <c r="G45" s="1" t="str">
        <f>IF(ISBLANK(D45),"",IF(ISNUMBER(VALUE(RIGHT(D45,1))),"",IF(UPPER(RIGHT(D45,7))="UNKNOWN","",0.1)))</f>
        <v/>
      </c>
      <c r="H45" s="1" t="str">
        <f>IF(ISBLANK(E45),"",IF(ISNUMBER(VALUE(RIGHT(E45,1))),"",IF(UPPER(RIGHT(E45,7))="UNKNOWN","",0.1)))</f>
        <v/>
      </c>
      <c r="J45" s="65" t="s">
        <v>829</v>
      </c>
      <c r="K45" s="1" t="str">
        <f>IF(UPPER(RIGHT(D45,7))="UNKNOWN","暫無解答",IF(ISBLANK(D45),"",IF(ISNUMBER(VALUE(RIGHT(D45,1))),"",D45)))</f>
        <v/>
      </c>
      <c r="L45" s="1" t="str">
        <f>IF(UPPER(RIGHT(E45,7))="UNKNOWN","暫無解答",IF(ISBLANK(E45),"",IF(ISNUMBER(VALUE(RIGHT(E45,1))),"",E45)))</f>
        <v/>
      </c>
    </row>
    <row r="46" spans="1:17" ht="14.25">
      <c r="A46" s="1">
        <f>+A42+1</f>
        <v>24</v>
      </c>
      <c r="B46" s="1">
        <v>2301</v>
      </c>
      <c r="C46" s="51" t="s">
        <v>1138</v>
      </c>
      <c r="D46" s="8" t="s">
        <v>830</v>
      </c>
      <c r="E46" s="8" t="s">
        <v>830</v>
      </c>
      <c r="F46" s="8" t="s">
        <v>830</v>
      </c>
      <c r="G46" s="1">
        <v>0.4</v>
      </c>
      <c r="H46" s="1">
        <v>0.2</v>
      </c>
      <c r="J46" s="38" t="s">
        <v>1138</v>
      </c>
      <c r="K46" s="1" t="s">
        <v>832</v>
      </c>
      <c r="L46" s="1" t="s">
        <v>833</v>
      </c>
      <c r="M46" s="50" t="s">
        <v>834</v>
      </c>
      <c r="N46" s="1" t="s">
        <v>835</v>
      </c>
      <c r="O46" s="1" t="s">
        <v>836</v>
      </c>
      <c r="Q46" s="38" t="s">
        <v>831</v>
      </c>
    </row>
    <row r="47" spans="1:17" ht="14.25">
      <c r="A47" s="1">
        <f>+A46+1</f>
        <v>25</v>
      </c>
      <c r="B47" s="1">
        <v>2311</v>
      </c>
      <c r="C47" s="51" t="s">
        <v>1139</v>
      </c>
      <c r="D47" s="8" t="s">
        <v>837</v>
      </c>
      <c r="E47" s="8" t="s">
        <v>838</v>
      </c>
      <c r="F47" s="8" t="s">
        <v>838</v>
      </c>
      <c r="G47" s="1">
        <v>0.6</v>
      </c>
      <c r="H47" s="1">
        <v>0.6</v>
      </c>
      <c r="I47" s="1" t="str">
        <f>IF(ISBLANK(B47),"",CONCATENATE("N",TEXT(B47,0),""))</f>
        <v>N2311</v>
      </c>
      <c r="J47" s="38" t="s">
        <v>1140</v>
      </c>
      <c r="K47" s="1" t="s">
        <v>839</v>
      </c>
      <c r="L47" s="1" t="s">
        <v>840</v>
      </c>
      <c r="M47" s="1" t="s">
        <v>841</v>
      </c>
      <c r="N47" s="1" t="s">
        <v>842</v>
      </c>
      <c r="O47" s="1" t="s">
        <v>843</v>
      </c>
      <c r="P47" s="1" t="s">
        <v>778</v>
      </c>
      <c r="Q47" s="38" t="s">
        <v>679</v>
      </c>
    </row>
    <row r="48" spans="1:17" ht="14.25">
      <c r="A48" s="1">
        <f>+A47+1</f>
        <v>26</v>
      </c>
      <c r="B48" s="1">
        <v>2321</v>
      </c>
      <c r="C48" s="51" t="s">
        <v>1141</v>
      </c>
      <c r="D48" s="8" t="s">
        <v>837</v>
      </c>
      <c r="E48" s="8" t="s">
        <v>837</v>
      </c>
      <c r="F48" s="8" t="s">
        <v>837</v>
      </c>
      <c r="G48" s="1">
        <v>0.6</v>
      </c>
      <c r="H48" s="1">
        <v>0.6</v>
      </c>
      <c r="I48" s="1" t="str">
        <f>IF(ISBLANK(B48),"",CONCATENATE("N",TEXT(B48,0),""))</f>
        <v>N2321</v>
      </c>
      <c r="J48" s="67" t="s">
        <v>1142</v>
      </c>
      <c r="K48" s="1" t="s">
        <v>844</v>
      </c>
      <c r="L48" s="1" t="s">
        <v>845</v>
      </c>
      <c r="M48" s="1" t="s">
        <v>846</v>
      </c>
      <c r="N48" s="1" t="s">
        <v>723</v>
      </c>
      <c r="O48" s="1" t="s">
        <v>843</v>
      </c>
      <c r="P48" s="1" t="s">
        <v>778</v>
      </c>
      <c r="Q48" s="38" t="s">
        <v>680</v>
      </c>
    </row>
    <row r="49" spans="1:17" ht="14.25">
      <c r="B49" s="11"/>
      <c r="C49" s="11"/>
      <c r="D49" s="11"/>
      <c r="E49" s="11"/>
      <c r="F49" s="11"/>
      <c r="G49" s="11" t="s">
        <v>59</v>
      </c>
      <c r="H49" s="11" t="s">
        <v>60</v>
      </c>
      <c r="I49" s="11"/>
      <c r="J49" s="11"/>
      <c r="K49" s="11"/>
      <c r="L49" s="11"/>
      <c r="M49" s="11"/>
      <c r="N49" s="11"/>
    </row>
    <row r="50" spans="1:17" ht="14.25">
      <c r="A50" s="1">
        <f>+A48+1</f>
        <v>27</v>
      </c>
      <c r="B50" s="11">
        <v>2300</v>
      </c>
      <c r="C50" s="9" t="s">
        <v>847</v>
      </c>
      <c r="D50" s="11" t="s">
        <v>848</v>
      </c>
      <c r="E50" s="11" t="s">
        <v>11</v>
      </c>
      <c r="F50" s="11"/>
      <c r="G50" s="11">
        <v>1</v>
      </c>
      <c r="H50" s="11">
        <v>1</v>
      </c>
      <c r="I50" s="11"/>
      <c r="J50" s="27" t="s">
        <v>849</v>
      </c>
      <c r="K50" s="11"/>
      <c r="L50" s="11"/>
      <c r="M50" s="11"/>
      <c r="N50" s="11"/>
    </row>
    <row r="51" spans="1:17" ht="14.25">
      <c r="B51" s="11"/>
      <c r="C51" s="11"/>
      <c r="D51" s="11"/>
      <c r="E51" s="11"/>
      <c r="F51" s="11"/>
      <c r="G51" s="27" t="s">
        <v>714</v>
      </c>
      <c r="H51" s="27" t="s">
        <v>714</v>
      </c>
      <c r="I51" s="11"/>
      <c r="J51" s="11"/>
      <c r="K51" s="11"/>
      <c r="L51" s="9"/>
      <c r="M51" s="11"/>
      <c r="N51" s="11"/>
    </row>
    <row r="52" spans="1:17">
      <c r="J52" s="1"/>
    </row>
    <row r="53" spans="1:17" ht="14.25">
      <c r="A53" s="1" t="s">
        <v>850</v>
      </c>
      <c r="G53" s="1" t="str">
        <f>IF(ISBLANK(D53),"",IF(ISNUMBER(VALUE(RIGHT(D53,1))),"",IF(UPPER(RIGHT(D53,7))="UNKNOWN","",0.1)))</f>
        <v/>
      </c>
      <c r="H53" s="1" t="str">
        <f>IF(ISBLANK(E53),"",IF(ISNUMBER(VALUE(RIGHT(E53,1))),"",IF(UPPER(RIGHT(E53,7))="UNKNOWN","",0.1)))</f>
        <v/>
      </c>
      <c r="J53" s="65" t="s">
        <v>851</v>
      </c>
      <c r="K53" s="1" t="str">
        <f>IF(UPPER(RIGHT(D53,7))="UNKNOWN","暫無解答",IF(ISBLANK(D53),"",IF(ISNUMBER(VALUE(RIGHT(D53,1))),"",D53)))</f>
        <v/>
      </c>
      <c r="L53" s="1" t="str">
        <f>IF(UPPER(RIGHT(E53,7))="UNKNOWN","暫無解答",IF(ISBLANK(E53),"",IF(ISNUMBER(VALUE(RIGHT(E53,1))),"",E53)))</f>
        <v/>
      </c>
    </row>
    <row r="54" spans="1:17" ht="14.25">
      <c r="A54" s="1">
        <f>+A55+1</f>
        <v>29</v>
      </c>
      <c r="B54" s="1">
        <v>2401</v>
      </c>
      <c r="C54" s="8" t="s">
        <v>852</v>
      </c>
      <c r="D54" s="8" t="s">
        <v>853</v>
      </c>
      <c r="E54" s="8" t="s">
        <v>853</v>
      </c>
      <c r="F54" s="8" t="s">
        <v>853</v>
      </c>
      <c r="G54" s="1">
        <v>0.4</v>
      </c>
      <c r="H54" s="1">
        <v>0</v>
      </c>
      <c r="I54" s="1" t="str">
        <f>IF(ISBLANK(B54),"",CONCATENATE("N",TEXT(B54,0),""))</f>
        <v>N2401</v>
      </c>
      <c r="J54" s="1" t="s">
        <v>854</v>
      </c>
      <c r="K54" s="1" t="s">
        <v>855</v>
      </c>
      <c r="L54" s="1" t="s">
        <v>856</v>
      </c>
      <c r="M54" s="50" t="s">
        <v>857</v>
      </c>
      <c r="N54" s="50" t="s">
        <v>723</v>
      </c>
      <c r="O54" s="1" t="s">
        <v>858</v>
      </c>
    </row>
    <row r="55" spans="1:17" ht="14.25">
      <c r="A55" s="1">
        <f>+A50+1</f>
        <v>28</v>
      </c>
      <c r="B55" s="1">
        <v>2402</v>
      </c>
      <c r="C55" s="51" t="s">
        <v>1143</v>
      </c>
      <c r="D55" s="8" t="s">
        <v>859</v>
      </c>
      <c r="E55" s="8" t="s">
        <v>859</v>
      </c>
      <c r="F55" s="8" t="s">
        <v>859</v>
      </c>
      <c r="G55" s="1">
        <v>0.6</v>
      </c>
      <c r="H55" s="1">
        <v>0</v>
      </c>
      <c r="J55" s="38" t="s">
        <v>1144</v>
      </c>
      <c r="K55" s="1" t="s">
        <v>861</v>
      </c>
      <c r="L55" s="1" t="s">
        <v>862</v>
      </c>
      <c r="M55" s="1" t="s">
        <v>863</v>
      </c>
      <c r="O55" s="1" t="s">
        <v>864</v>
      </c>
      <c r="P55" s="1" t="s">
        <v>865</v>
      </c>
      <c r="Q55" s="38" t="s">
        <v>860</v>
      </c>
    </row>
    <row r="56" spans="1:17" ht="14.25">
      <c r="A56" s="1">
        <f>+A54+1</f>
        <v>30</v>
      </c>
      <c r="B56" s="1">
        <v>2403</v>
      </c>
      <c r="C56" s="51" t="s">
        <v>1145</v>
      </c>
      <c r="D56" s="8" t="s">
        <v>866</v>
      </c>
      <c r="E56" s="8" t="s">
        <v>867</v>
      </c>
      <c r="F56" s="8" t="s">
        <v>867</v>
      </c>
      <c r="G56" s="1">
        <v>0.6</v>
      </c>
      <c r="H56" s="1">
        <v>0</v>
      </c>
      <c r="J56" s="38" t="s">
        <v>1146</v>
      </c>
      <c r="K56" s="1" t="s">
        <v>868</v>
      </c>
      <c r="L56" s="1" t="s">
        <v>869</v>
      </c>
      <c r="M56" s="1" t="s">
        <v>870</v>
      </c>
      <c r="O56" s="1" t="s">
        <v>871</v>
      </c>
      <c r="P56" s="1" t="s">
        <v>872</v>
      </c>
      <c r="Q56" s="38" t="s">
        <v>681</v>
      </c>
    </row>
    <row r="57" spans="1:17" ht="14.25">
      <c r="A57" s="1">
        <f>+A56+1</f>
        <v>31</v>
      </c>
      <c r="B57" s="1">
        <v>2404</v>
      </c>
      <c r="C57" s="8" t="s">
        <v>873</v>
      </c>
      <c r="D57" s="8" t="s">
        <v>867</v>
      </c>
      <c r="E57" s="8" t="s">
        <v>867</v>
      </c>
      <c r="F57" s="8" t="s">
        <v>867</v>
      </c>
      <c r="G57" s="1">
        <v>0.4</v>
      </c>
      <c r="H57" s="1">
        <v>0</v>
      </c>
      <c r="J57" s="1" t="s">
        <v>874</v>
      </c>
      <c r="K57" s="1" t="s">
        <v>875</v>
      </c>
      <c r="L57" s="1" t="s">
        <v>876</v>
      </c>
      <c r="M57" s="1" t="s">
        <v>877</v>
      </c>
      <c r="N57" s="1" t="s">
        <v>878</v>
      </c>
    </row>
    <row r="58" spans="1:17" ht="14.25">
      <c r="B58" s="11"/>
      <c r="C58" s="11"/>
      <c r="D58" s="11"/>
      <c r="E58" s="11"/>
      <c r="F58" s="11"/>
      <c r="G58" s="11" t="s">
        <v>59</v>
      </c>
      <c r="H58" s="11" t="s">
        <v>60</v>
      </c>
      <c r="I58" s="11"/>
      <c r="J58" s="11"/>
      <c r="K58" s="11"/>
      <c r="L58" s="11"/>
      <c r="M58" s="11"/>
      <c r="N58" s="11"/>
    </row>
    <row r="59" spans="1:17" ht="14.25">
      <c r="A59" s="1">
        <f>+A57+1</f>
        <v>32</v>
      </c>
      <c r="B59" s="11">
        <v>2400</v>
      </c>
      <c r="C59" s="9" t="s">
        <v>879</v>
      </c>
      <c r="D59" s="11" t="s">
        <v>880</v>
      </c>
      <c r="E59" s="11" t="s">
        <v>11</v>
      </c>
      <c r="F59" s="11"/>
      <c r="G59" s="11">
        <v>1</v>
      </c>
      <c r="H59" s="11">
        <v>1</v>
      </c>
      <c r="I59" s="11"/>
      <c r="J59" s="27" t="s">
        <v>881</v>
      </c>
      <c r="K59" s="11"/>
      <c r="L59" s="11"/>
      <c r="M59" s="11"/>
      <c r="N59" s="11"/>
    </row>
    <row r="60" spans="1:17" ht="14.25">
      <c r="B60" s="11"/>
      <c r="C60" s="11"/>
      <c r="D60" s="11"/>
      <c r="E60" s="11"/>
      <c r="F60" s="11"/>
      <c r="G60" s="27" t="s">
        <v>714</v>
      </c>
      <c r="H60" s="27" t="s">
        <v>714</v>
      </c>
      <c r="I60" s="11"/>
      <c r="J60" s="11"/>
      <c r="K60" s="11"/>
      <c r="L60" s="9"/>
      <c r="M60" s="11"/>
      <c r="N60" s="11"/>
    </row>
    <row r="61" spans="1:17">
      <c r="J61" s="1"/>
    </row>
    <row r="62" spans="1:17" ht="14.25">
      <c r="A62" s="3" t="s">
        <v>882</v>
      </c>
      <c r="B62" s="3"/>
      <c r="C62" s="23"/>
      <c r="D62" s="23"/>
      <c r="G62" s="1" t="str">
        <f>IF(ISBLANK(D62),"",IF(ISNUMBER(VALUE(RIGHT(D62,1))),"",IF(UPPER(RIGHT(D62,7))="UNKNOWN","",0.1)))</f>
        <v/>
      </c>
      <c r="H62" s="1" t="str">
        <f>IF(ISBLANK(E62),"",IF(ISNUMBER(VALUE(RIGHT(E62,1))),"",IF(UPPER(RIGHT(E62,7))="UNKNOWN","",0.1)))</f>
        <v/>
      </c>
      <c r="J62" s="65" t="s">
        <v>883</v>
      </c>
      <c r="K62" s="1" t="str">
        <f>IF(UPPER(RIGHT(D62,7))="UNKNOWN","暫無解答",IF(ISBLANK(D62),"",IF(ISNUMBER(VALUE(RIGHT(D62,1))),"",D62)))</f>
        <v/>
      </c>
      <c r="L62" s="1" t="str">
        <f>IF(UPPER(RIGHT(E62,7))="UNKNOWN","暫無解答",IF(ISBLANK(E62),"",IF(ISNUMBER(VALUE(RIGHT(E62,1))),"",E62)))</f>
        <v/>
      </c>
    </row>
    <row r="63" spans="1:17" ht="14.25">
      <c r="A63" s="1">
        <f>+A59+1</f>
        <v>33</v>
      </c>
      <c r="B63" s="1">
        <v>2501</v>
      </c>
      <c r="C63" s="51" t="s">
        <v>1147</v>
      </c>
      <c r="D63" s="8" t="s">
        <v>884</v>
      </c>
      <c r="E63" s="8" t="s">
        <v>884</v>
      </c>
      <c r="F63" s="8" t="s">
        <v>884</v>
      </c>
      <c r="G63" s="1">
        <v>0.3</v>
      </c>
      <c r="H63" s="1">
        <v>0</v>
      </c>
      <c r="I63" s="1" t="str">
        <f t="shared" ref="I63:I69" si="2">IF(ISBLANK(B63),"",CONCATENATE("N",TEXT(B63,0),""))</f>
        <v>N2501</v>
      </c>
      <c r="J63" s="51" t="s">
        <v>1148</v>
      </c>
      <c r="K63" s="1" t="s">
        <v>886</v>
      </c>
      <c r="L63" s="1" t="s">
        <v>887</v>
      </c>
      <c r="M63" s="50" t="s">
        <v>888</v>
      </c>
      <c r="N63" s="50" t="s">
        <v>889</v>
      </c>
      <c r="O63" s="1" t="s">
        <v>890</v>
      </c>
      <c r="P63" s="38" t="s">
        <v>891</v>
      </c>
      <c r="Q63" s="38" t="s">
        <v>885</v>
      </c>
    </row>
    <row r="64" spans="1:17" ht="15.75">
      <c r="A64" s="1">
        <f t="shared" ref="A64:A69" si="3">+A63+1</f>
        <v>34</v>
      </c>
      <c r="B64" s="38">
        <v>2502</v>
      </c>
      <c r="C64" s="8" t="s">
        <v>892</v>
      </c>
      <c r="D64" s="8" t="s">
        <v>893</v>
      </c>
      <c r="E64" s="8" t="s">
        <v>893</v>
      </c>
      <c r="F64" s="8" t="s">
        <v>893</v>
      </c>
      <c r="G64" s="1">
        <v>0.3</v>
      </c>
      <c r="H64" s="1">
        <v>0</v>
      </c>
      <c r="I64" s="1" t="str">
        <f t="shared" si="2"/>
        <v>N2502</v>
      </c>
      <c r="J64" s="3" t="s">
        <v>894</v>
      </c>
      <c r="K64" s="1" t="s">
        <v>895</v>
      </c>
      <c r="N64" s="1" t="s">
        <v>896</v>
      </c>
      <c r="O64" s="1" t="s">
        <v>897</v>
      </c>
      <c r="P64" s="53" t="s">
        <v>898</v>
      </c>
    </row>
    <row r="65" spans="1:17" ht="14.25">
      <c r="A65" s="1">
        <f t="shared" si="3"/>
        <v>35</v>
      </c>
      <c r="B65" s="1">
        <v>2503</v>
      </c>
      <c r="C65" s="8" t="s">
        <v>899</v>
      </c>
      <c r="D65" s="8" t="s">
        <v>900</v>
      </c>
      <c r="E65" s="8" t="s">
        <v>901</v>
      </c>
      <c r="F65" s="8" t="s">
        <v>901</v>
      </c>
      <c r="G65" s="1">
        <v>0.3</v>
      </c>
      <c r="H65" s="1">
        <v>0</v>
      </c>
      <c r="I65" s="1" t="str">
        <f t="shared" si="2"/>
        <v>N2503</v>
      </c>
      <c r="J65" s="1" t="s">
        <v>902</v>
      </c>
      <c r="K65" s="1" t="s">
        <v>903</v>
      </c>
      <c r="M65" s="1" t="s">
        <v>904</v>
      </c>
      <c r="O65" s="1" t="s">
        <v>905</v>
      </c>
    </row>
    <row r="66" spans="1:17" ht="14.25">
      <c r="A66" s="1">
        <f t="shared" si="3"/>
        <v>36</v>
      </c>
      <c r="B66" s="1">
        <v>2504</v>
      </c>
      <c r="C66" s="8" t="s">
        <v>906</v>
      </c>
      <c r="D66" s="8" t="s">
        <v>907</v>
      </c>
      <c r="E66" s="8" t="s">
        <v>907</v>
      </c>
      <c r="F66" s="8" t="s">
        <v>907</v>
      </c>
      <c r="G66" s="1">
        <v>0.3</v>
      </c>
      <c r="H66" s="1">
        <v>0</v>
      </c>
      <c r="I66" s="1" t="str">
        <f t="shared" si="2"/>
        <v>N2504</v>
      </c>
      <c r="J66" s="1" t="s">
        <v>908</v>
      </c>
      <c r="K66" s="1" t="s">
        <v>909</v>
      </c>
      <c r="O66" s="1" t="s">
        <v>910</v>
      </c>
    </row>
    <row r="67" spans="1:17" ht="14.25">
      <c r="A67" s="1">
        <f t="shared" si="3"/>
        <v>37</v>
      </c>
      <c r="B67" s="1">
        <v>2505</v>
      </c>
      <c r="C67" s="8" t="s">
        <v>911</v>
      </c>
      <c r="D67" s="8" t="s">
        <v>912</v>
      </c>
      <c r="E67" s="23" t="s">
        <v>907</v>
      </c>
      <c r="F67" s="8" t="s">
        <v>907</v>
      </c>
      <c r="G67" s="1">
        <v>0.3</v>
      </c>
      <c r="H67" s="1">
        <v>0</v>
      </c>
      <c r="I67" s="1" t="str">
        <f t="shared" si="2"/>
        <v>N2505</v>
      </c>
      <c r="J67" s="1" t="s">
        <v>913</v>
      </c>
      <c r="K67" s="1" t="s">
        <v>914</v>
      </c>
      <c r="M67" s="1" t="s">
        <v>915</v>
      </c>
    </row>
    <row r="68" spans="1:17" ht="14.25">
      <c r="A68" s="1">
        <f t="shared" si="3"/>
        <v>38</v>
      </c>
      <c r="B68" s="1">
        <v>2506</v>
      </c>
      <c r="C68" s="51" t="s">
        <v>1149</v>
      </c>
      <c r="D68" s="8" t="s">
        <v>912</v>
      </c>
      <c r="E68" s="8" t="s">
        <v>912</v>
      </c>
      <c r="F68" s="8" t="s">
        <v>912</v>
      </c>
      <c r="G68" s="1">
        <v>0.3</v>
      </c>
      <c r="H68" s="1">
        <v>0</v>
      </c>
      <c r="J68" s="38" t="s">
        <v>1157</v>
      </c>
      <c r="K68" s="1" t="s">
        <v>917</v>
      </c>
      <c r="M68" s="1" t="s">
        <v>918</v>
      </c>
      <c r="Q68" s="38" t="s">
        <v>916</v>
      </c>
    </row>
    <row r="69" spans="1:17" ht="14.25">
      <c r="A69" s="1">
        <f t="shared" si="3"/>
        <v>39</v>
      </c>
      <c r="B69" s="1">
        <v>2507</v>
      </c>
      <c r="C69" s="51" t="s">
        <v>1153</v>
      </c>
      <c r="D69" s="8" t="s">
        <v>919</v>
      </c>
      <c r="E69" s="8" t="s">
        <v>919</v>
      </c>
      <c r="F69" s="8" t="s">
        <v>919</v>
      </c>
      <c r="G69" s="1">
        <v>0.8</v>
      </c>
      <c r="H69" s="1">
        <v>0</v>
      </c>
      <c r="I69" s="1" t="str">
        <f t="shared" si="2"/>
        <v>N2507</v>
      </c>
      <c r="J69" s="38" t="s">
        <v>1154</v>
      </c>
      <c r="K69" s="1" t="s">
        <v>921</v>
      </c>
      <c r="L69" s="1" t="s">
        <v>922</v>
      </c>
      <c r="M69" s="1" t="s">
        <v>923</v>
      </c>
      <c r="N69" s="1" t="s">
        <v>924</v>
      </c>
      <c r="P69" s="38" t="s">
        <v>925</v>
      </c>
      <c r="Q69" s="38" t="s">
        <v>920</v>
      </c>
    </row>
    <row r="70" spans="1:17" ht="14.25">
      <c r="B70" s="11"/>
      <c r="C70" s="11"/>
      <c r="D70" s="11"/>
      <c r="E70" s="11"/>
      <c r="F70" s="11"/>
      <c r="G70" s="11" t="s">
        <v>59</v>
      </c>
      <c r="H70" s="11" t="s">
        <v>60</v>
      </c>
      <c r="I70" s="11"/>
      <c r="J70" s="11"/>
      <c r="K70" s="11"/>
      <c r="L70" s="11"/>
      <c r="M70" s="11"/>
      <c r="N70" s="11"/>
    </row>
    <row r="71" spans="1:17" ht="14.25">
      <c r="A71" s="1">
        <f>+A69+1</f>
        <v>40</v>
      </c>
      <c r="B71" s="11">
        <v>2500</v>
      </c>
      <c r="C71" s="9" t="s">
        <v>926</v>
      </c>
      <c r="D71" s="11" t="s">
        <v>927</v>
      </c>
      <c r="E71" s="11" t="s">
        <v>11</v>
      </c>
      <c r="F71" s="11"/>
      <c r="G71" s="11">
        <v>1</v>
      </c>
      <c r="H71" s="11">
        <v>1</v>
      </c>
      <c r="I71" s="11"/>
      <c r="J71" s="27" t="s">
        <v>928</v>
      </c>
      <c r="K71" s="11"/>
      <c r="L71" s="11"/>
      <c r="M71" s="11"/>
      <c r="N71" s="11"/>
    </row>
    <row r="72" spans="1:17" ht="14.25">
      <c r="B72" s="11"/>
      <c r="C72" s="11"/>
      <c r="D72" s="11"/>
      <c r="E72" s="11"/>
      <c r="F72" s="11"/>
      <c r="G72" s="27" t="s">
        <v>714</v>
      </c>
      <c r="H72" s="27" t="s">
        <v>714</v>
      </c>
      <c r="I72" s="11"/>
      <c r="J72" s="11"/>
      <c r="K72" s="11"/>
      <c r="L72" s="9"/>
      <c r="M72" s="11"/>
      <c r="N72" s="11"/>
    </row>
    <row r="73" spans="1:17">
      <c r="J73" s="1"/>
    </row>
    <row r="74" spans="1:17" ht="14.25">
      <c r="A74" s="1" t="s">
        <v>929</v>
      </c>
      <c r="G74" s="1" t="str">
        <f>IF(ISBLANK(D74),"",IF(ISNUMBER(VALUE(RIGHT(D74,1))),"",IF(UPPER(RIGHT(D74,7))="UNKNOWN","",0.1)))</f>
        <v/>
      </c>
      <c r="H74" s="1" t="str">
        <f>IF(ISBLANK(E74),"",IF(ISNUMBER(VALUE(RIGHT(E74,1))),"",IF(UPPER(RIGHT(E74,7))="UNKNOWN","",0.1)))</f>
        <v/>
      </c>
      <c r="J74" s="65" t="s">
        <v>930</v>
      </c>
      <c r="K74" s="1" t="str">
        <f>IF(UPPER(RIGHT(D74,7))="UNKNOWN","暫無解答",IF(ISBLANK(D74),"",IF(ISNUMBER(VALUE(RIGHT(D74,1))),"",D74)))</f>
        <v/>
      </c>
      <c r="L74" s="1" t="str">
        <f>IF(UPPER(RIGHT(E74,7))="UNKNOWN","暫無解答",IF(ISBLANK(E74),"",IF(ISNUMBER(VALUE(RIGHT(E74,1))),"",E74)))</f>
        <v/>
      </c>
    </row>
    <row r="75" spans="1:17" ht="14.25">
      <c r="A75" s="1">
        <f>+A71+1</f>
        <v>41</v>
      </c>
      <c r="B75" s="1">
        <v>2701</v>
      </c>
      <c r="C75" s="8" t="s">
        <v>931</v>
      </c>
      <c r="D75" s="8" t="s">
        <v>932</v>
      </c>
      <c r="E75" s="8" t="s">
        <v>932</v>
      </c>
      <c r="F75" s="8" t="s">
        <v>932</v>
      </c>
      <c r="G75" s="1">
        <v>0.3</v>
      </c>
      <c r="H75" s="1">
        <v>0</v>
      </c>
      <c r="I75" s="1" t="str">
        <f>IF(ISBLANK(B75),"",CONCATENATE("N",TEXT(B75,0),""))</f>
        <v>N2701</v>
      </c>
      <c r="J75" s="8" t="s">
        <v>933</v>
      </c>
      <c r="K75" s="1" t="s">
        <v>934</v>
      </c>
      <c r="M75" s="50" t="s">
        <v>935</v>
      </c>
      <c r="O75" s="1" t="s">
        <v>936</v>
      </c>
      <c r="P75" s="1" t="s">
        <v>937</v>
      </c>
    </row>
    <row r="76" spans="1:17" ht="14.25">
      <c r="A76" s="1">
        <f>+A75+1</f>
        <v>42</v>
      </c>
      <c r="B76" s="1">
        <v>2702</v>
      </c>
      <c r="C76" s="1" t="s">
        <v>938</v>
      </c>
      <c r="D76" s="1" t="s">
        <v>939</v>
      </c>
      <c r="E76" s="1" t="s">
        <v>939</v>
      </c>
      <c r="F76" s="1" t="s">
        <v>939</v>
      </c>
      <c r="G76" s="1">
        <v>0.5</v>
      </c>
      <c r="H76" s="1">
        <v>0</v>
      </c>
      <c r="I76" s="1" t="str">
        <f>IF(ISBLANK(B76),"",CONCATENATE("N",TEXT(B76,0),""))</f>
        <v>N2702</v>
      </c>
      <c r="J76" s="1" t="s">
        <v>940</v>
      </c>
      <c r="K76" s="1" t="s">
        <v>941</v>
      </c>
      <c r="L76" s="1" t="s">
        <v>835</v>
      </c>
      <c r="M76" s="1" t="s">
        <v>942</v>
      </c>
    </row>
    <row r="77" spans="1:17" ht="14.25">
      <c r="A77" s="1">
        <f>+A76+1</f>
        <v>43</v>
      </c>
      <c r="B77" s="1">
        <v>2703</v>
      </c>
      <c r="C77" s="8" t="s">
        <v>943</v>
      </c>
      <c r="D77" s="8" t="s">
        <v>944</v>
      </c>
      <c r="E77" s="8" t="s">
        <v>944</v>
      </c>
      <c r="F77" s="8" t="s">
        <v>944</v>
      </c>
      <c r="G77" s="1">
        <v>0.5</v>
      </c>
      <c r="H77" s="1">
        <v>0</v>
      </c>
      <c r="I77" s="1" t="str">
        <f>IF(ISBLANK(B77),"",CONCATENATE("N",TEXT(B77,0),""))</f>
        <v>N2703</v>
      </c>
      <c r="J77" s="1" t="s">
        <v>945</v>
      </c>
      <c r="K77" s="1" t="s">
        <v>946</v>
      </c>
      <c r="O77" s="1" t="s">
        <v>947</v>
      </c>
      <c r="P77" s="1" t="s">
        <v>948</v>
      </c>
    </row>
    <row r="78" spans="1:17" ht="14.25">
      <c r="A78" s="1">
        <f>+A77+1</f>
        <v>44</v>
      </c>
      <c r="B78" s="1">
        <v>2704</v>
      </c>
      <c r="C78" s="8" t="s">
        <v>205</v>
      </c>
      <c r="D78" s="8" t="s">
        <v>949</v>
      </c>
      <c r="E78" s="8" t="s">
        <v>949</v>
      </c>
      <c r="F78" s="8" t="s">
        <v>949</v>
      </c>
      <c r="G78" s="1">
        <v>1</v>
      </c>
      <c r="H78" s="1">
        <v>0</v>
      </c>
      <c r="I78" s="1" t="str">
        <f>IF(ISBLANK(B78),"",CONCATENATE("N",TEXT(B78,0),""))</f>
        <v>N2704</v>
      </c>
      <c r="J78" s="1" t="s">
        <v>950</v>
      </c>
      <c r="K78" s="1" t="s">
        <v>951</v>
      </c>
      <c r="M78" s="1" t="s">
        <v>952</v>
      </c>
      <c r="O78" s="1" t="s">
        <v>953</v>
      </c>
    </row>
    <row r="79" spans="1:17" ht="14.25">
      <c r="A79" s="1">
        <f>+A77+1</f>
        <v>44</v>
      </c>
      <c r="B79" s="1">
        <v>2705</v>
      </c>
      <c r="C79" s="8" t="s">
        <v>954</v>
      </c>
      <c r="D79" s="8" t="s">
        <v>955</v>
      </c>
      <c r="E79" s="8" t="s">
        <v>955</v>
      </c>
      <c r="F79" s="8" t="s">
        <v>955</v>
      </c>
      <c r="G79" s="1">
        <v>0.5</v>
      </c>
      <c r="H79" s="1">
        <v>0</v>
      </c>
      <c r="I79" s="1" t="str">
        <f>IF(ISBLANK(B79),"",CONCATENATE("N",TEXT(B79,0),""))</f>
        <v>N2705</v>
      </c>
      <c r="J79" s="8" t="s">
        <v>956</v>
      </c>
      <c r="K79" s="1" t="s">
        <v>957</v>
      </c>
      <c r="O79" s="1" t="s">
        <v>958</v>
      </c>
      <c r="P79" s="1" t="s">
        <v>959</v>
      </c>
    </row>
    <row r="80" spans="1:17" ht="14.25">
      <c r="A80" s="1">
        <f>+A79+1</f>
        <v>45</v>
      </c>
      <c r="B80" s="1">
        <v>2706</v>
      </c>
      <c r="C80" s="51" t="s">
        <v>1158</v>
      </c>
      <c r="D80" s="8" t="s">
        <v>960</v>
      </c>
      <c r="E80" s="8" t="s">
        <v>960</v>
      </c>
      <c r="F80" s="8" t="s">
        <v>960</v>
      </c>
      <c r="G80" s="1">
        <v>0.5</v>
      </c>
      <c r="H80" s="1">
        <v>0</v>
      </c>
      <c r="J80" s="51" t="s">
        <v>1159</v>
      </c>
      <c r="K80" s="1" t="s">
        <v>962</v>
      </c>
      <c r="L80" s="1" t="s">
        <v>835</v>
      </c>
      <c r="O80" s="1" t="s">
        <v>737</v>
      </c>
      <c r="Q80" s="38" t="s">
        <v>961</v>
      </c>
    </row>
    <row r="81" spans="1:17" ht="14.25">
      <c r="A81" s="1">
        <f>+A80+1</f>
        <v>46</v>
      </c>
      <c r="B81" s="3">
        <v>2707</v>
      </c>
      <c r="C81" s="51" t="s">
        <v>1160</v>
      </c>
      <c r="D81" s="8" t="s">
        <v>963</v>
      </c>
      <c r="E81" s="8" t="s">
        <v>963</v>
      </c>
      <c r="F81" s="8" t="s">
        <v>963</v>
      </c>
      <c r="G81" s="1">
        <v>0.5</v>
      </c>
      <c r="H81" s="1">
        <v>0</v>
      </c>
      <c r="I81" s="1" t="str">
        <f>IF(ISBLANK(B81),"",CONCATENATE("N",TEXT(B81,0),""))</f>
        <v>N2707</v>
      </c>
      <c r="J81" s="38" t="s">
        <v>1161</v>
      </c>
      <c r="K81" s="1" t="s">
        <v>895</v>
      </c>
      <c r="M81" s="1" t="s">
        <v>965</v>
      </c>
      <c r="N81" s="1" t="s">
        <v>966</v>
      </c>
      <c r="O81" s="1" t="s">
        <v>897</v>
      </c>
      <c r="P81" s="3" t="s">
        <v>967</v>
      </c>
      <c r="Q81" s="38" t="s">
        <v>964</v>
      </c>
    </row>
    <row r="82" spans="1:17" ht="14.25">
      <c r="B82" s="11"/>
      <c r="C82" s="11"/>
      <c r="D82" s="11"/>
      <c r="E82" s="11"/>
      <c r="F82" s="11"/>
      <c r="G82" s="11" t="s">
        <v>59</v>
      </c>
      <c r="H82" s="11" t="s">
        <v>60</v>
      </c>
      <c r="I82" s="11"/>
      <c r="J82" s="11"/>
      <c r="K82" s="11"/>
      <c r="L82" s="11"/>
      <c r="M82" s="11"/>
      <c r="N82" s="11"/>
    </row>
    <row r="83" spans="1:17" ht="14.25">
      <c r="A83" s="1">
        <f>+A81+1</f>
        <v>47</v>
      </c>
      <c r="B83" s="11">
        <v>2700</v>
      </c>
      <c r="C83" s="9" t="s">
        <v>968</v>
      </c>
      <c r="D83" s="11" t="s">
        <v>969</v>
      </c>
      <c r="E83" s="11" t="s">
        <v>11</v>
      </c>
      <c r="F83" s="11"/>
      <c r="G83" s="11">
        <v>1</v>
      </c>
      <c r="H83" s="11">
        <v>1</v>
      </c>
      <c r="I83" s="11"/>
      <c r="J83" s="27" t="s">
        <v>970</v>
      </c>
      <c r="K83" s="11"/>
      <c r="L83" s="11"/>
      <c r="M83" s="11"/>
      <c r="N83" s="11"/>
    </row>
    <row r="84" spans="1:17" ht="14.25">
      <c r="B84" s="11"/>
      <c r="C84" s="11"/>
      <c r="D84" s="11"/>
      <c r="E84" s="11"/>
      <c r="F84" s="11"/>
      <c r="G84" s="27" t="s">
        <v>714</v>
      </c>
      <c r="H84" s="27" t="s">
        <v>714</v>
      </c>
      <c r="I84" s="11"/>
      <c r="J84" s="11"/>
      <c r="K84" s="11"/>
      <c r="L84" s="9"/>
      <c r="M84" s="11"/>
      <c r="N84" s="11"/>
    </row>
    <row r="85" spans="1:17">
      <c r="J85" s="8"/>
    </row>
    <row r="86" spans="1:17" ht="14.25">
      <c r="A86" s="1" t="s">
        <v>971</v>
      </c>
      <c r="G86" s="1" t="str">
        <f>IF(ISBLANK(D86),"",IF(ISNUMBER(VALUE(RIGHT(D86,1))),"",IF(UPPER(RIGHT(D86,7))="UNKNOWN","",0.1)))</f>
        <v/>
      </c>
      <c r="H86" s="1" t="str">
        <f>IF(ISBLANK(E86),"",IF(ISNUMBER(VALUE(RIGHT(E86,1))),"",IF(UPPER(RIGHT(E86,7))="UNKNOWN","",0.1)))</f>
        <v/>
      </c>
      <c r="J86" s="65" t="s">
        <v>972</v>
      </c>
      <c r="K86" s="1" t="str">
        <f>IF(UPPER(RIGHT(D86,7))="UNKNOWN","暫無解答",IF(ISBLANK(D86),"",IF(ISNUMBER(VALUE(RIGHT(D86,1))),"",D86)))</f>
        <v/>
      </c>
      <c r="L86" s="1" t="str">
        <f>IF(UPPER(RIGHT(E86,7))="UNKNOWN","暫無解答",IF(ISBLANK(E86),"",IF(ISNUMBER(VALUE(RIGHT(E86,1))),"",E86)))</f>
        <v/>
      </c>
    </row>
    <row r="87" spans="1:17" ht="14.25">
      <c r="A87" s="1">
        <f>+A83+1</f>
        <v>48</v>
      </c>
      <c r="B87" s="1">
        <v>2801</v>
      </c>
      <c r="C87" s="51" t="s">
        <v>1162</v>
      </c>
      <c r="D87" s="8" t="s">
        <v>973</v>
      </c>
      <c r="E87" s="8" t="s">
        <v>974</v>
      </c>
      <c r="F87" s="23" t="s">
        <v>973</v>
      </c>
      <c r="G87" s="1">
        <v>0.2</v>
      </c>
      <c r="H87" s="1">
        <v>1</v>
      </c>
      <c r="J87" s="66" t="s">
        <v>1163</v>
      </c>
      <c r="M87" s="50" t="s">
        <v>976</v>
      </c>
      <c r="Q87" s="38" t="s">
        <v>975</v>
      </c>
    </row>
    <row r="88" spans="1:17" ht="14.25">
      <c r="A88" s="1">
        <f>+A87+1</f>
        <v>49</v>
      </c>
      <c r="B88" s="1">
        <v>2802</v>
      </c>
      <c r="C88" s="8" t="s">
        <v>977</v>
      </c>
      <c r="D88" s="8" t="s">
        <v>978</v>
      </c>
      <c r="E88" s="8" t="s">
        <v>978</v>
      </c>
      <c r="F88" s="8" t="s">
        <v>978</v>
      </c>
      <c r="G88" s="1">
        <v>0.4</v>
      </c>
      <c r="H88" s="1">
        <v>0</v>
      </c>
      <c r="I88" s="1" t="str">
        <f>IF(ISBLANK(B88),"",CONCATENATE("N",TEXT(B88,0),""))</f>
        <v>N2802</v>
      </c>
      <c r="J88" s="8" t="s">
        <v>979</v>
      </c>
      <c r="K88" s="1" t="s">
        <v>980</v>
      </c>
      <c r="M88" s="1" t="s">
        <v>981</v>
      </c>
      <c r="N88" s="1" t="s">
        <v>723</v>
      </c>
      <c r="P88" s="1" t="s">
        <v>982</v>
      </c>
    </row>
    <row r="89" spans="1:17" ht="14.25">
      <c r="A89" s="1">
        <f>+A88+1</f>
        <v>50</v>
      </c>
      <c r="B89" s="1">
        <v>2803</v>
      </c>
      <c r="C89" s="51" t="s">
        <v>204</v>
      </c>
      <c r="D89" s="8" t="s">
        <v>983</v>
      </c>
      <c r="E89" s="8" t="s">
        <v>983</v>
      </c>
      <c r="F89" s="8" t="s">
        <v>983</v>
      </c>
      <c r="G89" s="1">
        <v>0.4</v>
      </c>
      <c r="H89" s="1">
        <v>0</v>
      </c>
      <c r="I89" s="1" t="str">
        <f>IF(ISBLANK(B89),"",CONCATENATE("N",TEXT(B89,0),""))</f>
        <v>N2803</v>
      </c>
      <c r="J89" s="38" t="s">
        <v>984</v>
      </c>
      <c r="K89" s="1" t="s">
        <v>985</v>
      </c>
      <c r="Q89" s="38" t="s">
        <v>1175</v>
      </c>
    </row>
    <row r="90" spans="1:17" ht="14.25">
      <c r="A90" s="1">
        <f>+A89+1</f>
        <v>51</v>
      </c>
      <c r="B90" s="1">
        <v>2804</v>
      </c>
      <c r="C90" s="51" t="s">
        <v>1164</v>
      </c>
      <c r="D90" s="1" t="s">
        <v>986</v>
      </c>
      <c r="E90" s="1" t="s">
        <v>986</v>
      </c>
      <c r="F90" s="1" t="s">
        <v>986</v>
      </c>
      <c r="G90" s="1">
        <v>0.4</v>
      </c>
      <c r="H90" s="1">
        <v>0</v>
      </c>
      <c r="I90" s="1" t="str">
        <f>IF(ISBLANK(B90),"",CONCATENATE("N",TEXT(B90,0),""))</f>
        <v>N2804</v>
      </c>
      <c r="J90" s="38" t="s">
        <v>1165</v>
      </c>
      <c r="K90" s="1" t="s">
        <v>988</v>
      </c>
      <c r="M90" s="1" t="s">
        <v>989</v>
      </c>
      <c r="Q90" s="38" t="s">
        <v>987</v>
      </c>
    </row>
    <row r="91" spans="1:17" ht="14.25">
      <c r="A91" s="1">
        <f>+A90+1</f>
        <v>52</v>
      </c>
      <c r="B91" s="1">
        <v>2805</v>
      </c>
      <c r="C91" s="51" t="s">
        <v>205</v>
      </c>
      <c r="D91" s="8" t="s">
        <v>974</v>
      </c>
      <c r="E91" s="8" t="s">
        <v>974</v>
      </c>
      <c r="F91" s="8" t="s">
        <v>974</v>
      </c>
      <c r="G91" s="1">
        <v>0.4</v>
      </c>
      <c r="H91" s="1">
        <v>0</v>
      </c>
      <c r="I91" s="1" t="str">
        <f>IF(ISBLANK(B91),"",CONCATENATE("N",TEXT(B91,0),""))</f>
        <v>N2805</v>
      </c>
      <c r="J91" s="38" t="s">
        <v>1166</v>
      </c>
      <c r="K91" s="1" t="s">
        <v>991</v>
      </c>
      <c r="Q91" s="38" t="s">
        <v>990</v>
      </c>
    </row>
    <row r="92" spans="1:17" ht="14.25">
      <c r="B92" s="11"/>
      <c r="C92" s="11"/>
      <c r="D92" s="11"/>
      <c r="E92" s="11"/>
      <c r="F92" s="11"/>
      <c r="G92" s="11" t="s">
        <v>59</v>
      </c>
      <c r="H92" s="11" t="s">
        <v>60</v>
      </c>
      <c r="I92" s="11"/>
      <c r="J92" s="11"/>
      <c r="K92" s="11"/>
      <c r="L92" s="11"/>
      <c r="M92" s="11"/>
      <c r="N92" s="11"/>
    </row>
    <row r="93" spans="1:17" ht="14.25">
      <c r="A93" s="1">
        <f>+A91+1</f>
        <v>53</v>
      </c>
      <c r="B93" s="11">
        <v>2800</v>
      </c>
      <c r="C93" s="9" t="s">
        <v>992</v>
      </c>
      <c r="D93" s="11" t="s">
        <v>744</v>
      </c>
      <c r="E93" s="11" t="s">
        <v>11</v>
      </c>
      <c r="F93" s="11"/>
      <c r="G93" s="11">
        <v>1</v>
      </c>
      <c r="H93" s="11">
        <v>1</v>
      </c>
      <c r="I93" s="11"/>
      <c r="J93" s="27" t="s">
        <v>993</v>
      </c>
      <c r="K93" s="11"/>
      <c r="L93" s="11"/>
      <c r="M93" s="11"/>
      <c r="N93" s="11"/>
      <c r="O93" s="1" t="s">
        <v>994</v>
      </c>
    </row>
    <row r="94" spans="1:17" ht="14.25">
      <c r="B94" s="11"/>
      <c r="C94" s="11"/>
      <c r="D94" s="11"/>
      <c r="E94" s="11"/>
      <c r="F94" s="11"/>
      <c r="G94" s="27" t="s">
        <v>714</v>
      </c>
      <c r="H94" s="27" t="s">
        <v>714</v>
      </c>
      <c r="I94" s="11"/>
      <c r="J94" s="11"/>
      <c r="K94" s="11"/>
      <c r="L94" s="9"/>
      <c r="M94" s="11"/>
      <c r="N94" s="11"/>
    </row>
    <row r="95" spans="1:17">
      <c r="J95" s="1"/>
    </row>
    <row r="96" spans="1:17" ht="14.25">
      <c r="A96" s="2" t="s">
        <v>995</v>
      </c>
      <c r="G96" s="1" t="str">
        <f>IF(ISBLANK(D96),"",IF(ISNUMBER(VALUE(RIGHT(D96,1))),"",IF(UPPER(RIGHT(D96,7))="UNKNOWN","",0.1)))</f>
        <v/>
      </c>
      <c r="H96" s="1" t="str">
        <f>IF(ISBLANK(E96),"",IF(ISNUMBER(VALUE(RIGHT(E96,1))),"",IF(UPPER(RIGHT(E96,7))="UNKNOWN","",0.1)))</f>
        <v/>
      </c>
      <c r="J96" s="18" t="s">
        <v>996</v>
      </c>
      <c r="K96" s="1" t="str">
        <f>IF(UPPER(RIGHT(D96,7))="UNKNOWN","暫無解答",IF(ISBLANK(D96),"",IF(ISNUMBER(VALUE(RIGHT(D96,1))),"",D96)))</f>
        <v/>
      </c>
      <c r="L96" s="1" t="str">
        <f>IF(UPPER(RIGHT(E96,7))="UNKNOWN","暫無解答",IF(ISBLANK(E96),"",IF(ISNUMBER(VALUE(RIGHT(E96,1))),"",E96)))</f>
        <v/>
      </c>
    </row>
    <row r="97" spans="1:17" ht="14.25">
      <c r="A97" s="1">
        <f>+A93+1</f>
        <v>54</v>
      </c>
      <c r="B97" s="1">
        <v>3</v>
      </c>
      <c r="C97" s="51" t="s">
        <v>1167</v>
      </c>
      <c r="D97" s="8" t="s">
        <v>997</v>
      </c>
      <c r="E97" s="8" t="s">
        <v>998</v>
      </c>
      <c r="F97" s="8" t="s">
        <v>997</v>
      </c>
      <c r="G97" s="1">
        <v>0</v>
      </c>
      <c r="H97" s="1">
        <v>0</v>
      </c>
      <c r="J97" s="38" t="s">
        <v>1168</v>
      </c>
      <c r="M97" s="50" t="s">
        <v>1000</v>
      </c>
      <c r="Q97" s="38" t="s">
        <v>999</v>
      </c>
    </row>
    <row r="98" spans="1:17">
      <c r="J98" s="1"/>
    </row>
    <row r="99" spans="1:17" ht="14.25">
      <c r="A99" s="1" t="s">
        <v>1001</v>
      </c>
      <c r="G99" s="1" t="str">
        <f>IF(ISBLANK(D99),"",IF(ISNUMBER(VALUE(RIGHT(D99,1))),"",IF(UPPER(RIGHT(D99,7))="UNKNOWN","",0.1)))</f>
        <v/>
      </c>
      <c r="H99" s="1" t="str">
        <f>IF(ISBLANK(E99),"",IF(ISNUMBER(VALUE(RIGHT(E99,1))),"",IF(UPPER(RIGHT(E99,7))="UNKNOWN","",0.1)))</f>
        <v/>
      </c>
      <c r="J99" s="65" t="s">
        <v>1002</v>
      </c>
      <c r="K99" s="1" t="str">
        <f>IF(UPPER(RIGHT(D99,7))="UNKNOWN","暫無解答",IF(ISBLANK(D99),"",IF(ISNUMBER(VALUE(RIGHT(D99,1))),"",D99)))</f>
        <v/>
      </c>
      <c r="L99" s="1" t="str">
        <f>IF(UPPER(RIGHT(E99,7))="UNKNOWN","暫無解答",IF(ISBLANK(E99),"",IF(ISNUMBER(VALUE(RIGHT(E99,1))),"",E99)))</f>
        <v/>
      </c>
    </row>
    <row r="100" spans="1:17" ht="14.25">
      <c r="A100" s="1">
        <f>+A97+1</f>
        <v>55</v>
      </c>
      <c r="B100" s="1">
        <v>3101</v>
      </c>
      <c r="C100" s="8" t="s">
        <v>1003</v>
      </c>
      <c r="D100" s="8" t="s">
        <v>1004</v>
      </c>
      <c r="E100" s="8" t="s">
        <v>1004</v>
      </c>
      <c r="F100" s="8" t="s">
        <v>1004</v>
      </c>
      <c r="G100" s="1">
        <v>1</v>
      </c>
      <c r="H100" s="1">
        <v>1</v>
      </c>
      <c r="J100" s="1" t="s">
        <v>1005</v>
      </c>
      <c r="K100" s="1" t="s">
        <v>1006</v>
      </c>
      <c r="L100" s="1" t="s">
        <v>1007</v>
      </c>
      <c r="M100" s="1" t="s">
        <v>1008</v>
      </c>
      <c r="N100" s="3"/>
      <c r="O100" s="1" t="s">
        <v>1009</v>
      </c>
    </row>
    <row r="101" spans="1:17" ht="14.25">
      <c r="B101" s="11"/>
      <c r="C101" s="11"/>
      <c r="D101" s="11"/>
      <c r="E101" s="11"/>
      <c r="F101" s="11"/>
      <c r="G101" s="11" t="s">
        <v>59</v>
      </c>
      <c r="H101" s="11" t="s">
        <v>60</v>
      </c>
      <c r="I101" s="11"/>
      <c r="J101" s="11"/>
      <c r="K101" s="11"/>
      <c r="L101" s="11"/>
      <c r="M101" s="11"/>
      <c r="N101" s="11"/>
    </row>
    <row r="102" spans="1:17" ht="14.25">
      <c r="A102" s="1">
        <f>+A100+1</f>
        <v>56</v>
      </c>
      <c r="B102" s="11">
        <v>3100</v>
      </c>
      <c r="C102" s="9" t="s">
        <v>1010</v>
      </c>
      <c r="D102" s="11" t="s">
        <v>1011</v>
      </c>
      <c r="E102" s="11" t="s">
        <v>11</v>
      </c>
      <c r="F102" s="11"/>
      <c r="G102" s="11">
        <v>1</v>
      </c>
      <c r="H102" s="11">
        <v>1</v>
      </c>
      <c r="I102" s="11"/>
      <c r="J102" s="27" t="s">
        <v>1012</v>
      </c>
      <c r="K102" s="11"/>
      <c r="L102" s="11"/>
      <c r="M102" s="11"/>
      <c r="N102" s="11"/>
    </row>
    <row r="103" spans="1:17" ht="14.25">
      <c r="B103" s="11"/>
      <c r="C103" s="11"/>
      <c r="D103" s="11"/>
      <c r="E103" s="11"/>
      <c r="F103" s="11"/>
      <c r="G103" s="27" t="s">
        <v>714</v>
      </c>
      <c r="H103" s="27" t="s">
        <v>714</v>
      </c>
      <c r="I103" s="11"/>
      <c r="J103" s="11"/>
      <c r="K103" s="11"/>
      <c r="L103" s="9"/>
      <c r="M103" s="11"/>
      <c r="N103" s="11"/>
    </row>
    <row r="104" spans="1:17">
      <c r="J104" s="1"/>
    </row>
    <row r="105" spans="1:17" ht="14.25">
      <c r="A105" s="1" t="s">
        <v>1013</v>
      </c>
      <c r="G105" s="1" t="str">
        <f>IF(ISBLANK(D105),"",IF(ISNUMBER(VALUE(RIGHT(D105,1))),"",IF(UPPER(RIGHT(D105,7))="UNKNOWN","",0.1)))</f>
        <v/>
      </c>
      <c r="H105" s="1" t="str">
        <f>IF(ISBLANK(E105),"",IF(ISNUMBER(VALUE(RIGHT(E105,1))),"",IF(UPPER(RIGHT(E105,7))="UNKNOWN","",0.1)))</f>
        <v/>
      </c>
      <c r="J105" s="65" t="s">
        <v>1014</v>
      </c>
      <c r="K105" s="1" t="str">
        <f>IF(UPPER(RIGHT(D105,7))="UNKNOWN","暫無解答",IF(ISBLANK(D105),"",IF(ISNUMBER(VALUE(RIGHT(D105,1))),"",D105)))</f>
        <v/>
      </c>
      <c r="L105" s="1" t="str">
        <f>IF(UPPER(RIGHT(E105,7))="UNKNOWN","暫無解答",IF(ISBLANK(E105),"",IF(ISNUMBER(VALUE(RIGHT(E105,1))),"",E105)))</f>
        <v/>
      </c>
    </row>
    <row r="106" spans="1:17" ht="14.25">
      <c r="A106" s="1">
        <f>+A102+1</f>
        <v>57</v>
      </c>
      <c r="B106" s="1">
        <v>3201</v>
      </c>
      <c r="C106" s="8" t="s">
        <v>1015</v>
      </c>
      <c r="D106" s="8" t="s">
        <v>1016</v>
      </c>
      <c r="E106" s="8" t="s">
        <v>1016</v>
      </c>
      <c r="F106" s="8" t="s">
        <v>1016</v>
      </c>
      <c r="G106" s="1">
        <v>1</v>
      </c>
      <c r="H106" s="1">
        <v>0.5</v>
      </c>
      <c r="J106" s="1" t="s">
        <v>1017</v>
      </c>
      <c r="K106" s="1" t="s">
        <v>1018</v>
      </c>
      <c r="M106" s="50" t="s">
        <v>1019</v>
      </c>
      <c r="N106" s="3"/>
      <c r="P106" s="68" t="s">
        <v>1020</v>
      </c>
    </row>
    <row r="107" spans="1:17" ht="14.25">
      <c r="B107" s="11"/>
      <c r="C107" s="11"/>
      <c r="D107" s="11"/>
      <c r="E107" s="11"/>
      <c r="F107" s="11"/>
      <c r="G107" s="11" t="s">
        <v>59</v>
      </c>
      <c r="H107" s="11" t="s">
        <v>60</v>
      </c>
      <c r="I107" s="11"/>
      <c r="J107" s="11"/>
      <c r="K107" s="11"/>
      <c r="L107" s="11"/>
      <c r="M107" s="11"/>
      <c r="N107" s="11"/>
    </row>
    <row r="108" spans="1:17" ht="14.25">
      <c r="A108" s="1">
        <f>+A106+1</f>
        <v>58</v>
      </c>
      <c r="B108" s="11">
        <v>3200</v>
      </c>
      <c r="C108" s="9" t="s">
        <v>1010</v>
      </c>
      <c r="D108" s="11" t="s">
        <v>998</v>
      </c>
      <c r="E108" s="11" t="s">
        <v>11</v>
      </c>
      <c r="F108" s="11"/>
      <c r="G108" s="11">
        <v>1</v>
      </c>
      <c r="H108" s="11">
        <v>1</v>
      </c>
      <c r="I108" s="11"/>
      <c r="J108" s="27" t="s">
        <v>1021</v>
      </c>
      <c r="K108" s="11"/>
      <c r="L108" s="11"/>
      <c r="M108" s="11"/>
      <c r="N108" s="11"/>
    </row>
    <row r="109" spans="1:17" ht="14.25">
      <c r="B109" s="11"/>
      <c r="C109" s="11"/>
      <c r="D109" s="11"/>
      <c r="E109" s="11"/>
      <c r="F109" s="11"/>
      <c r="G109" s="27" t="s">
        <v>714</v>
      </c>
      <c r="H109" s="27" t="s">
        <v>714</v>
      </c>
      <c r="I109" s="11"/>
      <c r="J109" s="11"/>
      <c r="K109" s="11"/>
      <c r="L109" s="9"/>
      <c r="M109" s="11"/>
      <c r="N109" s="11"/>
    </row>
    <row r="110" spans="1:17">
      <c r="J110" s="1"/>
    </row>
    <row r="111" spans="1:17" ht="14.25">
      <c r="A111" s="2" t="s">
        <v>1022</v>
      </c>
      <c r="G111" s="1" t="str">
        <f>IF(ISBLANK(D111),"",IF(ISNUMBER(VALUE(RIGHT(D111,1))),"",IF(UPPER(RIGHT(D111,7))="UNKNOWN","",0.1)))</f>
        <v/>
      </c>
      <c r="H111" s="1" t="str">
        <f>IF(ISBLANK(E111),"",IF(ISNUMBER(VALUE(RIGHT(E111,1))),"",IF(UPPER(RIGHT(E111,7))="UNKNOWN","",0.1)))</f>
        <v/>
      </c>
      <c r="J111" s="18" t="s">
        <v>1023</v>
      </c>
      <c r="K111" s="1" t="str">
        <f>IF(UPPER(RIGHT(D111,7))="UNKNOWN","暫無解答",IF(ISBLANK(D111),"",IF(ISNUMBER(VALUE(RIGHT(D111,1))),"",D111)))</f>
        <v/>
      </c>
      <c r="L111" s="1" t="str">
        <f>IF(UPPER(RIGHT(E111,7))="UNKNOWN","暫無解答",IF(ISBLANK(E111),"",IF(ISNUMBER(VALUE(RIGHT(E111,1))),"",E111)))</f>
        <v/>
      </c>
    </row>
    <row r="112" spans="1:17" ht="14.25">
      <c r="A112" s="1">
        <f>+A108+1</f>
        <v>59</v>
      </c>
      <c r="B112" s="1">
        <v>6</v>
      </c>
      <c r="C112" s="8" t="s">
        <v>1024</v>
      </c>
      <c r="D112" s="8" t="s">
        <v>1025</v>
      </c>
      <c r="E112" s="8" t="s">
        <v>1026</v>
      </c>
      <c r="G112" s="1">
        <v>0</v>
      </c>
      <c r="H112" s="1">
        <v>0</v>
      </c>
      <c r="J112" s="1" t="s">
        <v>1027</v>
      </c>
      <c r="M112" s="50" t="s">
        <v>1028</v>
      </c>
    </row>
    <row r="113" spans="1:16">
      <c r="J113" s="1"/>
    </row>
    <row r="114" spans="1:16" ht="14.25">
      <c r="A114" s="1" t="s">
        <v>1029</v>
      </c>
      <c r="G114" s="1" t="str">
        <f>IF(ISBLANK(D114),"",IF(ISNUMBER(VALUE(RIGHT(D114,1))),"",IF(UPPER(RIGHT(D114,7))="UNKNOWN","",0.1)))</f>
        <v/>
      </c>
      <c r="H114" s="1" t="str">
        <f>IF(ISBLANK(E114),"",IF(ISNUMBER(VALUE(RIGHT(E114,1))),"",IF(UPPER(RIGHT(E114,7))="UNKNOWN","",0.1)))</f>
        <v/>
      </c>
      <c r="J114" s="65" t="s">
        <v>1030</v>
      </c>
      <c r="K114" s="1" t="str">
        <f>IF(UPPER(RIGHT(D114,7))="UNKNOWN","暫無解答",IF(ISBLANK(D114),"",IF(ISNUMBER(VALUE(RIGHT(D114,1))),"",D114)))</f>
        <v/>
      </c>
      <c r="L114" s="1" t="str">
        <f>IF(UPPER(RIGHT(E114,7))="UNKNOWN","暫無解答",IF(ISBLANK(E114),"",IF(ISNUMBER(VALUE(RIGHT(E114,1))),"",E114)))</f>
        <v/>
      </c>
    </row>
    <row r="115" spans="1:16" ht="14.25">
      <c r="A115" s="1">
        <f>+A112+1</f>
        <v>60</v>
      </c>
      <c r="B115" s="1">
        <v>6101</v>
      </c>
      <c r="C115" s="8" t="s">
        <v>1031</v>
      </c>
      <c r="D115" s="8" t="s">
        <v>1032</v>
      </c>
      <c r="E115" s="8" t="s">
        <v>1033</v>
      </c>
      <c r="F115" s="8" t="s">
        <v>1033</v>
      </c>
      <c r="G115" s="1">
        <v>0</v>
      </c>
      <c r="H115" s="1">
        <v>0</v>
      </c>
      <c r="J115" s="7" t="s">
        <v>1034</v>
      </c>
    </row>
    <row r="116" spans="1:16" ht="14.25">
      <c r="A116" s="1">
        <f t="shared" ref="A116:A121" si="4">+A115+1</f>
        <v>61</v>
      </c>
      <c r="B116" s="1">
        <v>6102</v>
      </c>
      <c r="C116" s="8" t="s">
        <v>1035</v>
      </c>
      <c r="D116" s="8" t="s">
        <v>1036</v>
      </c>
      <c r="E116" s="8" t="s">
        <v>1036</v>
      </c>
      <c r="F116" s="8" t="s">
        <v>1036</v>
      </c>
      <c r="G116" s="1">
        <v>0.6</v>
      </c>
      <c r="H116" s="1">
        <v>0.2</v>
      </c>
      <c r="J116" s="1" t="s">
        <v>1037</v>
      </c>
      <c r="K116" s="1" t="s">
        <v>1038</v>
      </c>
      <c r="L116" s="1" t="s">
        <v>1039</v>
      </c>
      <c r="M116" s="8" t="s">
        <v>1040</v>
      </c>
      <c r="O116" s="1" t="s">
        <v>1041</v>
      </c>
    </row>
    <row r="117" spans="1:16" ht="14.25">
      <c r="A117" s="1">
        <f t="shared" si="4"/>
        <v>62</v>
      </c>
      <c r="B117" s="1">
        <v>6103</v>
      </c>
      <c r="C117" s="8" t="s">
        <v>1042</v>
      </c>
      <c r="D117" s="8" t="s">
        <v>1043</v>
      </c>
      <c r="E117" s="8" t="s">
        <v>1043</v>
      </c>
      <c r="F117" s="8" t="s">
        <v>1043</v>
      </c>
      <c r="G117" s="1">
        <v>0.3</v>
      </c>
      <c r="H117" s="1">
        <v>0.2</v>
      </c>
      <c r="J117" s="1" t="s">
        <v>1044</v>
      </c>
      <c r="K117" s="8" t="s">
        <v>1045</v>
      </c>
      <c r="L117" s="1" t="s">
        <v>1046</v>
      </c>
      <c r="M117" s="1" t="s">
        <v>1047</v>
      </c>
      <c r="O117" s="1" t="s">
        <v>1048</v>
      </c>
    </row>
    <row r="118" spans="1:16" ht="14.25">
      <c r="A118" s="1">
        <f t="shared" si="4"/>
        <v>63</v>
      </c>
      <c r="B118" s="1">
        <v>6104</v>
      </c>
      <c r="C118" s="8" t="s">
        <v>1049</v>
      </c>
      <c r="D118" s="8" t="s">
        <v>1050</v>
      </c>
      <c r="E118" s="8" t="s">
        <v>1050</v>
      </c>
      <c r="F118" s="8" t="s">
        <v>1050</v>
      </c>
      <c r="G118" s="1">
        <v>0.3</v>
      </c>
      <c r="H118" s="1">
        <v>0.2</v>
      </c>
      <c r="J118" s="1" t="s">
        <v>1051</v>
      </c>
      <c r="K118" s="8" t="s">
        <v>1045</v>
      </c>
      <c r="L118" s="1" t="s">
        <v>1052</v>
      </c>
      <c r="M118" s="1" t="s">
        <v>783</v>
      </c>
      <c r="O118" s="1" t="s">
        <v>1053</v>
      </c>
    </row>
    <row r="119" spans="1:16" ht="14.25">
      <c r="A119" s="1">
        <f t="shared" si="4"/>
        <v>64</v>
      </c>
      <c r="B119" s="1">
        <v>6105</v>
      </c>
      <c r="C119" s="8" t="s">
        <v>1054</v>
      </c>
      <c r="D119" s="8" t="s">
        <v>1055</v>
      </c>
      <c r="E119" s="8" t="s">
        <v>1055</v>
      </c>
      <c r="F119" s="8" t="s">
        <v>1055</v>
      </c>
      <c r="G119" s="1">
        <v>0.2</v>
      </c>
      <c r="H119" s="1">
        <v>0.2</v>
      </c>
      <c r="J119" s="1" t="s">
        <v>1056</v>
      </c>
      <c r="K119" s="8" t="s">
        <v>1057</v>
      </c>
      <c r="L119" s="1" t="s">
        <v>1058</v>
      </c>
      <c r="M119" s="1" t="s">
        <v>1059</v>
      </c>
      <c r="O119" s="1" t="s">
        <v>1060</v>
      </c>
      <c r="P119" s="1" t="s">
        <v>1061</v>
      </c>
    </row>
    <row r="120" spans="1:16" ht="14.25">
      <c r="A120" s="1">
        <f t="shared" si="4"/>
        <v>65</v>
      </c>
      <c r="B120" s="1">
        <v>6106</v>
      </c>
      <c r="C120" s="8" t="s">
        <v>1062</v>
      </c>
      <c r="D120" s="8" t="s">
        <v>1063</v>
      </c>
      <c r="E120" s="23" t="s">
        <v>1063</v>
      </c>
      <c r="F120" s="23" t="s">
        <v>1063</v>
      </c>
      <c r="G120" s="1">
        <v>0.3</v>
      </c>
      <c r="H120" s="1">
        <v>0.2</v>
      </c>
      <c r="J120" s="8" t="s">
        <v>1064</v>
      </c>
      <c r="K120" s="8" t="s">
        <v>1065</v>
      </c>
      <c r="L120" s="1" t="s">
        <v>1066</v>
      </c>
      <c r="M120" s="1" t="s">
        <v>1067</v>
      </c>
      <c r="O120" s="1" t="s">
        <v>1068</v>
      </c>
      <c r="P120" s="1" t="s">
        <v>1069</v>
      </c>
    </row>
    <row r="121" spans="1:16" ht="14.25">
      <c r="A121" s="1">
        <f t="shared" si="4"/>
        <v>66</v>
      </c>
      <c r="B121" s="1">
        <v>6107</v>
      </c>
      <c r="C121" s="8" t="s">
        <v>1070</v>
      </c>
      <c r="D121" s="8" t="s">
        <v>1071</v>
      </c>
      <c r="E121" s="23" t="s">
        <v>1071</v>
      </c>
      <c r="F121" s="23" t="s">
        <v>1071</v>
      </c>
      <c r="G121" s="1">
        <v>0.3</v>
      </c>
      <c r="H121" s="1">
        <v>0.2</v>
      </c>
      <c r="J121" s="8" t="s">
        <v>1072</v>
      </c>
      <c r="K121" s="8" t="s">
        <v>1073</v>
      </c>
      <c r="L121" s="8" t="s">
        <v>1074</v>
      </c>
      <c r="M121" s="1" t="s">
        <v>1075</v>
      </c>
      <c r="N121" s="3"/>
      <c r="O121" s="1" t="s">
        <v>1076</v>
      </c>
    </row>
    <row r="122" spans="1:16" ht="14.25">
      <c r="B122" s="11"/>
      <c r="C122" s="11"/>
      <c r="D122" s="11"/>
      <c r="E122" s="11"/>
      <c r="F122" s="11"/>
      <c r="G122" s="11" t="s">
        <v>59</v>
      </c>
      <c r="H122" s="11" t="s">
        <v>60</v>
      </c>
      <c r="I122" s="11"/>
      <c r="J122" s="11"/>
      <c r="K122" s="11"/>
      <c r="L122" s="11"/>
      <c r="M122" s="11"/>
      <c r="N122" s="11"/>
    </row>
    <row r="123" spans="1:16" ht="14.25">
      <c r="A123" s="1">
        <f>+A121+1</f>
        <v>67</v>
      </c>
      <c r="B123" s="11">
        <v>6100</v>
      </c>
      <c r="C123" s="9" t="s">
        <v>1077</v>
      </c>
      <c r="D123" s="11" t="s">
        <v>1033</v>
      </c>
      <c r="E123" s="11" t="s">
        <v>1078</v>
      </c>
      <c r="F123" s="11"/>
      <c r="G123" s="11">
        <v>1</v>
      </c>
      <c r="H123" s="11">
        <v>1</v>
      </c>
      <c r="I123" s="11"/>
      <c r="J123" s="27" t="s">
        <v>1079</v>
      </c>
      <c r="K123" s="11"/>
      <c r="L123" s="11"/>
      <c r="M123" s="11"/>
      <c r="N123" s="11"/>
    </row>
    <row r="124" spans="1:16" ht="14.25">
      <c r="B124" s="11"/>
      <c r="C124" s="11"/>
      <c r="D124" s="11"/>
      <c r="E124" s="11"/>
      <c r="F124" s="11"/>
      <c r="G124" s="27" t="s">
        <v>714</v>
      </c>
      <c r="H124" s="27" t="s">
        <v>714</v>
      </c>
      <c r="I124" s="11"/>
      <c r="J124" s="11"/>
      <c r="K124" s="11"/>
      <c r="L124" s="9"/>
      <c r="M124" s="11"/>
      <c r="N124" s="11"/>
    </row>
    <row r="125" spans="1:16">
      <c r="J125" s="1"/>
    </row>
    <row r="126" spans="1:16" ht="14.25">
      <c r="A126" s="1" t="s">
        <v>1080</v>
      </c>
      <c r="G126" s="1" t="str">
        <f>IF(ISBLANK(D126),"",IF(ISNUMBER(VALUE(RIGHT(D126,1))),"",IF(UPPER(RIGHT(D126,7))="UNKNOWN","",0.1)))</f>
        <v/>
      </c>
      <c r="H126" s="1" t="str">
        <f>IF(ISBLANK(E126),"",IF(ISNUMBER(VALUE(RIGHT(E126,1))),"",IF(UPPER(RIGHT(E126,7))="UNKNOWN","",0.1)))</f>
        <v/>
      </c>
      <c r="J126" s="65" t="s">
        <v>1081</v>
      </c>
      <c r="K126" s="1" t="str">
        <f>IF(UPPER(RIGHT(D126,7))="UNKNOWN","暫無解答",IF(ISBLANK(D126),"",IF(ISNUMBER(VALUE(RIGHT(D126,1))),"",D126)))</f>
        <v/>
      </c>
      <c r="L126" s="1" t="str">
        <f>IF(UPPER(RIGHT(E126,7))="UNKNOWN","暫無解答",IF(ISBLANK(E126),"",IF(ISNUMBER(VALUE(RIGHT(E126,1))),"",E126)))</f>
        <v/>
      </c>
    </row>
    <row r="127" spans="1:16" ht="14.25">
      <c r="A127" s="1">
        <f>+A123+1</f>
        <v>68</v>
      </c>
      <c r="B127" s="1">
        <v>6201</v>
      </c>
      <c r="C127" s="8" t="s">
        <v>1082</v>
      </c>
      <c r="D127" s="8" t="s">
        <v>1083</v>
      </c>
      <c r="E127" s="8" t="s">
        <v>1084</v>
      </c>
      <c r="F127" s="8" t="s">
        <v>1084</v>
      </c>
      <c r="G127" s="1">
        <v>0</v>
      </c>
      <c r="H127" s="1">
        <v>0</v>
      </c>
      <c r="J127" s="7" t="s">
        <v>1085</v>
      </c>
    </row>
    <row r="128" spans="1:16" ht="14.25">
      <c r="A128" s="1">
        <f>+A127+1</f>
        <v>69</v>
      </c>
      <c r="B128" s="1">
        <v>6202</v>
      </c>
      <c r="C128" s="23" t="s">
        <v>1086</v>
      </c>
      <c r="D128" s="8" t="s">
        <v>1087</v>
      </c>
      <c r="E128" s="8" t="s">
        <v>1087</v>
      </c>
      <c r="F128" s="8" t="s">
        <v>1087</v>
      </c>
      <c r="G128" s="1">
        <v>0.3</v>
      </c>
      <c r="H128" s="1">
        <v>1</v>
      </c>
      <c r="J128" s="24" t="s">
        <v>1192</v>
      </c>
      <c r="K128" s="1" t="s">
        <v>1088</v>
      </c>
      <c r="L128" s="17" t="s">
        <v>1193</v>
      </c>
      <c r="M128" s="8" t="s">
        <v>1089</v>
      </c>
    </row>
    <row r="129" spans="1:17" ht="14.25">
      <c r="A129" s="1">
        <f>+A128+1</f>
        <v>70</v>
      </c>
      <c r="B129" s="1">
        <v>6203</v>
      </c>
      <c r="C129" s="51" t="s">
        <v>1090</v>
      </c>
      <c r="D129" s="8" t="s">
        <v>1091</v>
      </c>
      <c r="E129" s="8" t="s">
        <v>1091</v>
      </c>
      <c r="F129" s="8" t="s">
        <v>1091</v>
      </c>
      <c r="G129" s="1">
        <v>0.3</v>
      </c>
      <c r="H129" s="1">
        <v>1</v>
      </c>
      <c r="J129" s="38" t="s">
        <v>1191</v>
      </c>
      <c r="K129" s="1" t="s">
        <v>1093</v>
      </c>
      <c r="L129" s="1" t="s">
        <v>1092</v>
      </c>
      <c r="M129" s="8" t="s">
        <v>1094</v>
      </c>
      <c r="P129" s="1" t="s">
        <v>872</v>
      </c>
      <c r="Q129" s="38" t="s">
        <v>1129</v>
      </c>
    </row>
    <row r="130" spans="1:17" ht="14.25">
      <c r="A130" s="1">
        <f>+A129+1</f>
        <v>71</v>
      </c>
      <c r="B130" s="1">
        <v>6204</v>
      </c>
      <c r="C130" s="8" t="s">
        <v>1095</v>
      </c>
      <c r="D130" s="8" t="s">
        <v>1096</v>
      </c>
      <c r="E130" s="8" t="s">
        <v>1096</v>
      </c>
      <c r="F130" s="8" t="s">
        <v>1096</v>
      </c>
      <c r="G130" s="1">
        <v>0.3</v>
      </c>
      <c r="H130" s="1">
        <v>1</v>
      </c>
      <c r="I130" s="1" t="str">
        <f>IF(ISBLANK(B130),"",CONCATENATE("N",TEXT(B130,0),""))</f>
        <v>N6204</v>
      </c>
      <c r="J130" s="17" t="s">
        <v>1188</v>
      </c>
      <c r="K130" s="17" t="s">
        <v>1189</v>
      </c>
      <c r="L130" s="17" t="s">
        <v>1190</v>
      </c>
      <c r="M130" s="8" t="s">
        <v>1097</v>
      </c>
      <c r="N130" s="3"/>
      <c r="O130" s="1" t="s">
        <v>1098</v>
      </c>
      <c r="P130" s="1" t="s">
        <v>1099</v>
      </c>
    </row>
    <row r="131" spans="1:17" ht="14.25">
      <c r="B131" s="11"/>
      <c r="C131" s="11"/>
      <c r="D131" s="11"/>
      <c r="E131" s="11"/>
      <c r="F131" s="11"/>
      <c r="G131" s="11" t="s">
        <v>59</v>
      </c>
      <c r="H131" s="11" t="s">
        <v>60</v>
      </c>
      <c r="I131" s="11"/>
      <c r="J131" s="11"/>
      <c r="K131" s="11"/>
      <c r="L131" s="11"/>
      <c r="M131" s="11"/>
      <c r="N131" s="11"/>
    </row>
    <row r="132" spans="1:17" ht="14.25">
      <c r="A132" s="1">
        <f>+A130+1</f>
        <v>72</v>
      </c>
      <c r="B132" s="11">
        <v>6200</v>
      </c>
      <c r="C132" s="72" t="s">
        <v>1178</v>
      </c>
      <c r="D132" s="11" t="s">
        <v>1084</v>
      </c>
      <c r="E132" s="11" t="s">
        <v>1078</v>
      </c>
      <c r="F132" s="11"/>
      <c r="G132" s="11">
        <v>1</v>
      </c>
      <c r="H132" s="11">
        <v>1</v>
      </c>
      <c r="I132" s="11"/>
      <c r="J132" s="49" t="s">
        <v>1194</v>
      </c>
      <c r="K132" s="11"/>
      <c r="L132" s="11"/>
      <c r="M132" s="11"/>
      <c r="N132" s="11"/>
      <c r="P132" s="1" t="s">
        <v>1100</v>
      </c>
    </row>
    <row r="133" spans="1:17" ht="14.25">
      <c r="B133" s="11"/>
      <c r="C133" s="11"/>
      <c r="D133" s="11"/>
      <c r="E133" s="11"/>
      <c r="F133" s="11"/>
      <c r="G133" s="27" t="s">
        <v>714</v>
      </c>
      <c r="H133" s="27" t="s">
        <v>714</v>
      </c>
      <c r="I133" s="11"/>
      <c r="J133" s="11"/>
      <c r="K133" s="11"/>
      <c r="L133" s="9"/>
      <c r="M133" s="11"/>
      <c r="N133" s="11"/>
    </row>
    <row r="134" spans="1:17">
      <c r="J134" s="1"/>
    </row>
    <row r="135" spans="1:17" ht="14.25">
      <c r="A135" s="1" t="s">
        <v>1101</v>
      </c>
      <c r="G135" s="1" t="str">
        <f>IF(ISBLANK(D135),"",IF(ISNUMBER(VALUE(RIGHT(D135,1))),"",IF(UPPER(RIGHT(D135,7))="UNKNOWN","",0.1)))</f>
        <v/>
      </c>
      <c r="H135" s="1" t="str">
        <f>IF(ISBLANK(E135),"",IF(ISNUMBER(VALUE(RIGHT(E135,1))),"",IF(UPPER(RIGHT(E135,7))="UNKNOWN","",0.1)))</f>
        <v/>
      </c>
      <c r="J135" s="65" t="s">
        <v>1102</v>
      </c>
      <c r="K135" s="1" t="str">
        <f>IF(UPPER(RIGHT(D135,7))="UNKNOWN","暫無解答",IF(ISBLANK(D135),"",IF(ISNUMBER(VALUE(RIGHT(D135,1))),"",D135)))</f>
        <v/>
      </c>
      <c r="L135" s="1" t="str">
        <f>IF(UPPER(RIGHT(E135,7))="UNKNOWN","暫無解答",IF(ISBLANK(E135),"",IF(ISNUMBER(VALUE(RIGHT(E135,1))),"",E135)))</f>
        <v/>
      </c>
    </row>
    <row r="136" spans="1:17" ht="14.25">
      <c r="A136" s="1">
        <f>+A132+1</f>
        <v>73</v>
      </c>
      <c r="B136" s="1">
        <v>6301</v>
      </c>
      <c r="C136" s="7" t="s">
        <v>1103</v>
      </c>
      <c r="D136" s="8" t="s">
        <v>1104</v>
      </c>
      <c r="E136" s="8" t="s">
        <v>1026</v>
      </c>
      <c r="F136" s="8" t="s">
        <v>1026</v>
      </c>
      <c r="G136" s="1">
        <v>0</v>
      </c>
      <c r="H136" s="1">
        <v>0</v>
      </c>
      <c r="J136" s="7" t="s">
        <v>1105</v>
      </c>
      <c r="N136" s="1" t="s">
        <v>1106</v>
      </c>
    </row>
    <row r="137" spans="1:17" ht="14.25">
      <c r="A137" s="1">
        <f>+A136+1</f>
        <v>74</v>
      </c>
      <c r="B137" s="1">
        <v>6302</v>
      </c>
      <c r="C137" s="66" t="s">
        <v>1169</v>
      </c>
      <c r="D137" s="8" t="s">
        <v>1107</v>
      </c>
      <c r="E137" s="8" t="s">
        <v>1107</v>
      </c>
      <c r="F137" s="8" t="s">
        <v>1107</v>
      </c>
      <c r="G137" s="1">
        <v>0.25</v>
      </c>
      <c r="H137" s="1">
        <v>1</v>
      </c>
      <c r="I137" s="1" t="str">
        <f>IF(ISBLANK(B137),"",CONCATENATE("N",TEXT(B137,0),""))</f>
        <v>N6302</v>
      </c>
      <c r="J137" s="73" t="s">
        <v>1182</v>
      </c>
      <c r="K137" s="17" t="s">
        <v>1181</v>
      </c>
      <c r="L137" s="17" t="s">
        <v>1183</v>
      </c>
      <c r="M137" s="8" t="s">
        <v>1109</v>
      </c>
      <c r="O137" s="1" t="s">
        <v>1110</v>
      </c>
      <c r="P137" s="1" t="s">
        <v>1111</v>
      </c>
      <c r="Q137" s="38" t="s">
        <v>1108</v>
      </c>
    </row>
    <row r="138" spans="1:17" ht="14.25">
      <c r="A138" s="1">
        <f>+A137+1</f>
        <v>75</v>
      </c>
      <c r="B138" s="1">
        <v>6303</v>
      </c>
      <c r="C138" s="66" t="s">
        <v>1170</v>
      </c>
      <c r="D138" s="8" t="s">
        <v>1112</v>
      </c>
      <c r="E138" s="8" t="s">
        <v>1112</v>
      </c>
      <c r="F138" s="8" t="s">
        <v>1112</v>
      </c>
      <c r="G138" s="1">
        <v>0.25</v>
      </c>
      <c r="H138" s="1">
        <v>1</v>
      </c>
      <c r="J138" s="73" t="s">
        <v>1184</v>
      </c>
      <c r="K138" s="1" t="s">
        <v>1113</v>
      </c>
      <c r="L138" s="17" t="s">
        <v>1185</v>
      </c>
      <c r="M138" s="4" t="s">
        <v>1114</v>
      </c>
      <c r="O138" s="1" t="s">
        <v>1115</v>
      </c>
      <c r="P138" s="1" t="s">
        <v>1116</v>
      </c>
      <c r="Q138" s="38" t="s">
        <v>710</v>
      </c>
    </row>
    <row r="139" spans="1:17" ht="14.25">
      <c r="A139" s="1">
        <f>+A138+1</f>
        <v>76</v>
      </c>
      <c r="B139" s="1">
        <v>6304</v>
      </c>
      <c r="C139" s="7" t="s">
        <v>1117</v>
      </c>
      <c r="D139" s="8" t="s">
        <v>1118</v>
      </c>
      <c r="E139" s="8" t="s">
        <v>1118</v>
      </c>
      <c r="F139" s="8" t="s">
        <v>1118</v>
      </c>
      <c r="G139" s="1">
        <v>0.25</v>
      </c>
      <c r="H139" s="1">
        <v>1</v>
      </c>
      <c r="J139" s="17" t="s">
        <v>1186</v>
      </c>
      <c r="K139" s="1" t="s">
        <v>1119</v>
      </c>
      <c r="L139" s="17" t="s">
        <v>1187</v>
      </c>
      <c r="M139" s="8" t="s">
        <v>1120</v>
      </c>
      <c r="O139" s="1" t="s">
        <v>1121</v>
      </c>
    </row>
    <row r="140" spans="1:17" ht="14.25">
      <c r="A140" s="1">
        <f>+A139+1</f>
        <v>77</v>
      </c>
      <c r="B140" s="1">
        <v>6305</v>
      </c>
      <c r="C140" s="66" t="s">
        <v>1171</v>
      </c>
      <c r="D140" s="8" t="s">
        <v>1122</v>
      </c>
      <c r="E140" s="8" t="s">
        <v>1122</v>
      </c>
      <c r="F140" s="8" t="s">
        <v>1122</v>
      </c>
      <c r="G140" s="1">
        <v>0.25</v>
      </c>
      <c r="H140" s="1">
        <v>0.5</v>
      </c>
      <c r="J140" s="38" t="s">
        <v>1172</v>
      </c>
      <c r="K140" s="17" t="s">
        <v>1127</v>
      </c>
      <c r="L140" s="17" t="s">
        <v>1128</v>
      </c>
      <c r="M140" s="8" t="s">
        <v>1124</v>
      </c>
      <c r="N140" s="3"/>
      <c r="O140" s="1" t="s">
        <v>1125</v>
      </c>
      <c r="Q140" s="38" t="s">
        <v>1123</v>
      </c>
    </row>
    <row r="141" spans="1:17" ht="14.25">
      <c r="B141" s="11"/>
      <c r="C141" s="11"/>
      <c r="D141" s="11"/>
      <c r="E141" s="11"/>
      <c r="F141" s="11"/>
      <c r="G141" s="11" t="s">
        <v>59</v>
      </c>
      <c r="H141" s="11" t="s">
        <v>60</v>
      </c>
      <c r="I141" s="11"/>
      <c r="J141" s="11"/>
      <c r="K141" s="11"/>
      <c r="L141" s="11"/>
      <c r="M141" s="11"/>
      <c r="N141" s="11"/>
    </row>
    <row r="142" spans="1:17" ht="14.25">
      <c r="A142" s="1">
        <f>+A140+1</f>
        <v>78</v>
      </c>
      <c r="B142" s="11">
        <v>6300</v>
      </c>
      <c r="C142" s="72" t="s">
        <v>1179</v>
      </c>
      <c r="D142" s="11" t="s">
        <v>1026</v>
      </c>
      <c r="E142" s="11" t="s">
        <v>1078</v>
      </c>
      <c r="F142" s="11"/>
      <c r="G142" s="11">
        <v>1</v>
      </c>
      <c r="H142" s="11">
        <v>1</v>
      </c>
      <c r="I142" s="11"/>
      <c r="J142" s="49" t="s">
        <v>1195</v>
      </c>
      <c r="K142" s="11"/>
      <c r="L142" s="11"/>
      <c r="M142" s="11"/>
      <c r="N142" s="11"/>
    </row>
    <row r="143" spans="1:17" ht="14.25">
      <c r="B143" s="11"/>
      <c r="C143" s="11"/>
      <c r="D143" s="11"/>
      <c r="E143" s="11"/>
      <c r="F143" s="11"/>
      <c r="G143" s="27" t="s">
        <v>714</v>
      </c>
      <c r="H143" s="27" t="s">
        <v>714</v>
      </c>
      <c r="I143" s="11"/>
      <c r="J143" s="11"/>
      <c r="K143" s="11"/>
      <c r="L143" s="9"/>
      <c r="M143" s="11"/>
      <c r="N143" s="11"/>
    </row>
    <row r="144" spans="1:17">
      <c r="J144" s="1"/>
    </row>
    <row r="145" spans="1:14">
      <c r="A145" s="1">
        <f>+A142+1</f>
        <v>79</v>
      </c>
      <c r="B145" s="11">
        <v>0</v>
      </c>
      <c r="F145" s="27" t="s">
        <v>1126</v>
      </c>
      <c r="J145" s="1" t="str">
        <f>IF(ISBLANK(C145), "", C145)</f>
        <v/>
      </c>
      <c r="N145" s="3"/>
    </row>
    <row r="146" spans="1:14" s="3" customFormat="1">
      <c r="C146" s="23"/>
      <c r="D146" s="23"/>
      <c r="E146" s="23"/>
      <c r="F146" s="29"/>
      <c r="M146" s="1"/>
      <c r="N146" s="1"/>
    </row>
    <row r="149" spans="1:14">
      <c r="J149" s="30"/>
    </row>
    <row r="150" spans="1:14">
      <c r="J150" s="30"/>
    </row>
    <row r="151" spans="1:14">
      <c r="J151" s="30"/>
    </row>
    <row r="152" spans="1:14">
      <c r="J152" s="30"/>
    </row>
    <row r="156" spans="1:14">
      <c r="K156" s="30"/>
    </row>
  </sheetData>
  <phoneticPr fontId="1"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34"/>
  <sheetViews>
    <sheetView zoomScaleNormal="100" workbookViewId="0">
      <pane xSplit="2" ySplit="1" topLeftCell="C2" activePane="bottomRight" state="frozen"/>
      <selection pane="topRight" activeCell="C1" sqref="C1"/>
      <selection pane="bottomLeft" activeCell="A2" sqref="A2"/>
      <selection pane="bottomRight" activeCell="G19" sqref="G19"/>
    </sheetView>
  </sheetViews>
  <sheetFormatPr defaultRowHeight="12.75"/>
  <cols>
    <col min="1" max="2" width="5.625" style="4" customWidth="1"/>
    <col min="3" max="3" width="30.625" style="4" customWidth="1"/>
    <col min="4" max="4" width="5.625" style="4" customWidth="1"/>
    <col min="5" max="5" width="6.625" style="4" customWidth="1"/>
    <col min="6" max="9" width="7.625" style="4" customWidth="1"/>
    <col min="10" max="10" width="34.5" style="4" customWidth="1"/>
    <col min="11" max="12" width="20.625" style="4" customWidth="1"/>
    <col min="13" max="13" width="27.75" style="1" bestFit="1" customWidth="1"/>
    <col min="14" max="16" width="20.625" style="4" customWidth="1"/>
    <col min="17" max="17" width="17.625" style="4" customWidth="1"/>
    <col min="18" max="16384" width="9" style="4"/>
  </cols>
  <sheetData>
    <row r="1" spans="1:17" ht="14.25">
      <c r="A1" s="4" t="s">
        <v>12</v>
      </c>
      <c r="B1" s="4" t="s">
        <v>31</v>
      </c>
      <c r="C1" s="4" t="s">
        <v>2</v>
      </c>
      <c r="D1" s="4" t="s">
        <v>251</v>
      </c>
      <c r="E1" s="4" t="s">
        <v>15</v>
      </c>
      <c r="F1" s="55" t="s">
        <v>131</v>
      </c>
      <c r="G1" s="4" t="s">
        <v>16</v>
      </c>
      <c r="H1" s="4" t="s">
        <v>252</v>
      </c>
      <c r="I1" s="4" t="s">
        <v>18</v>
      </c>
      <c r="J1" s="56" t="s">
        <v>65</v>
      </c>
      <c r="K1" s="4" t="s">
        <v>284</v>
      </c>
      <c r="L1" s="4" t="s">
        <v>285</v>
      </c>
      <c r="M1" s="11" t="s">
        <v>258</v>
      </c>
      <c r="N1" s="11" t="s">
        <v>259</v>
      </c>
      <c r="O1" s="1" t="s">
        <v>260</v>
      </c>
      <c r="P1" s="1" t="s">
        <v>261</v>
      </c>
      <c r="Q1" s="1" t="s">
        <v>608</v>
      </c>
    </row>
    <row r="2" spans="1:17" ht="14.25">
      <c r="A2" s="5" t="s">
        <v>113</v>
      </c>
      <c r="G2" s="4" t="str">
        <f>IF(ISBLANK(D2),"",IF(ISNUMBER(VALUE(RIGHT(D2,1))),"",IF(UPPER(RIGHT(D2,7))="UNKNOWN","",0.1)))</f>
        <v/>
      </c>
      <c r="H2" s="4" t="str">
        <f>IF(ISBLANK(E2),"",IF(ISNUMBER(VALUE(RIGHT(E2,1))),"",IF(UPPER(RIGHT(E2,7))="UNKNOWN","",0.1)))</f>
        <v/>
      </c>
      <c r="I2" s="4" t="str">
        <f>IF(ISBLANK(B2),"",CONCATENATE("N",TEXT(B2,0),"P1"))</f>
        <v/>
      </c>
      <c r="J2" s="57" t="s">
        <v>286</v>
      </c>
      <c r="K2" s="4" t="str">
        <f t="shared" ref="K2:L5" si="0">IF(UPPER(RIGHT(D2,7))="UNKNOWN","暫無解答",IF(ISBLANK(D2),"",IF(ISNUMBER(VALUE(RIGHT(D2,1))),"",D2)))</f>
        <v/>
      </c>
      <c r="L2" s="4" t="str">
        <f t="shared" si="0"/>
        <v/>
      </c>
    </row>
    <row r="3" spans="1:17" ht="14.25">
      <c r="A3" s="4">
        <v>1</v>
      </c>
      <c r="B3" s="4">
        <v>1</v>
      </c>
      <c r="C3" s="4" t="s">
        <v>114</v>
      </c>
      <c r="D3" s="4" t="s">
        <v>19</v>
      </c>
      <c r="E3" s="4" t="s">
        <v>85</v>
      </c>
      <c r="G3" s="4">
        <v>0</v>
      </c>
      <c r="H3" s="4">
        <v>0</v>
      </c>
      <c r="I3" s="4" t="s">
        <v>481</v>
      </c>
      <c r="J3" s="4" t="s">
        <v>287</v>
      </c>
      <c r="K3" s="4" t="str">
        <f t="shared" si="0"/>
        <v/>
      </c>
      <c r="L3" s="4" t="str">
        <f t="shared" si="0"/>
        <v/>
      </c>
      <c r="M3" s="1" t="s">
        <v>562</v>
      </c>
      <c r="N3" s="58" t="s">
        <v>560</v>
      </c>
    </row>
    <row r="4" spans="1:17">
      <c r="A4" s="5"/>
      <c r="G4" s="4" t="str">
        <f>IF(ISBLANK(D4),"",IF(ISNUMBER(VALUE(RIGHT(D4,1))),"",IF(UPPER(RIGHT(D4,7))="UNKNOWN","",0.1)))</f>
        <v/>
      </c>
      <c r="H4" s="4" t="str">
        <f>IF(ISBLANK(E4),"",IF(ISNUMBER(VALUE(RIGHT(E4,1))),"",IF(UPPER(RIGHT(E4,7))="UNKNOWN","",0.1)))</f>
        <v/>
      </c>
      <c r="K4" s="4" t="str">
        <f t="shared" si="0"/>
        <v/>
      </c>
      <c r="L4" s="4" t="str">
        <f t="shared" si="0"/>
        <v/>
      </c>
    </row>
    <row r="5" spans="1:17" ht="14.25">
      <c r="A5" s="4" t="s">
        <v>115</v>
      </c>
      <c r="G5" s="4" t="str">
        <f>IF(ISBLANK(D5),"",IF(ISNUMBER(VALUE(RIGHT(D5,1))),"",IF(UPPER(RIGHT(D5,7))="UNKNOWN","",0.1)))</f>
        <v/>
      </c>
      <c r="H5" s="4" t="str">
        <f>IF(ISBLANK(E5),"",IF(ISNUMBER(VALUE(RIGHT(E5,1))),"",IF(UPPER(RIGHT(E5,7))="UNKNOWN","",0.1)))</f>
        <v/>
      </c>
      <c r="J5" s="59" t="s">
        <v>421</v>
      </c>
      <c r="K5" s="4" t="str">
        <f t="shared" si="0"/>
        <v/>
      </c>
      <c r="L5" s="4" t="str">
        <f t="shared" si="0"/>
        <v/>
      </c>
    </row>
    <row r="6" spans="1:17" ht="14.25">
      <c r="A6" s="4">
        <f>+A3+1</f>
        <v>2</v>
      </c>
      <c r="B6" s="4">
        <v>1101</v>
      </c>
      <c r="C6" s="4" t="s">
        <v>116</v>
      </c>
      <c r="D6" s="4" t="s">
        <v>32</v>
      </c>
      <c r="E6" s="4" t="s">
        <v>109</v>
      </c>
      <c r="F6" s="4" t="s">
        <v>651</v>
      </c>
      <c r="G6" s="4">
        <v>0.3</v>
      </c>
      <c r="H6" s="4">
        <v>0</v>
      </c>
      <c r="J6" s="60" t="s">
        <v>439</v>
      </c>
      <c r="K6" s="4" t="s">
        <v>290</v>
      </c>
      <c r="M6" s="17" t="s">
        <v>534</v>
      </c>
      <c r="N6" s="58" t="s">
        <v>561</v>
      </c>
      <c r="O6" s="58" t="s">
        <v>484</v>
      </c>
      <c r="P6" s="58" t="s">
        <v>530</v>
      </c>
    </row>
    <row r="7" spans="1:17" ht="14.25">
      <c r="A7" s="4">
        <f>+A6+1</f>
        <v>3</v>
      </c>
      <c r="B7" s="4">
        <v>1102</v>
      </c>
      <c r="C7" s="4" t="s">
        <v>119</v>
      </c>
      <c r="D7" s="4" t="s">
        <v>109</v>
      </c>
      <c r="E7" s="4" t="s">
        <v>82</v>
      </c>
      <c r="F7" s="4" t="s">
        <v>82</v>
      </c>
      <c r="G7" s="4">
        <v>1</v>
      </c>
      <c r="H7" s="4">
        <v>0</v>
      </c>
      <c r="I7" s="4" t="str">
        <f t="shared" ref="I7:I17" si="1">IF(ISBLANK(B7),"",CONCATENATE("N",TEXT(B7,0),""))</f>
        <v>N1102</v>
      </c>
      <c r="J7" s="54" t="s">
        <v>420</v>
      </c>
      <c r="K7" s="4" t="s">
        <v>288</v>
      </c>
      <c r="M7" s="17" t="s">
        <v>531</v>
      </c>
      <c r="N7" s="1" t="s">
        <v>262</v>
      </c>
      <c r="O7" s="4" t="s">
        <v>289</v>
      </c>
      <c r="P7" s="58" t="s">
        <v>532</v>
      </c>
    </row>
    <row r="8" spans="1:17" ht="14.25">
      <c r="A8" s="4">
        <f t="shared" ref="A8:A17" si="2">+A7+1</f>
        <v>4</v>
      </c>
      <c r="B8" s="4">
        <v>1103</v>
      </c>
      <c r="C8" s="4" t="s">
        <v>117</v>
      </c>
      <c r="D8" s="4" t="s">
        <v>109</v>
      </c>
      <c r="E8" s="4" t="s">
        <v>187</v>
      </c>
      <c r="F8" s="4" t="s">
        <v>187</v>
      </c>
      <c r="G8" s="4">
        <v>1</v>
      </c>
      <c r="H8" s="4">
        <v>0</v>
      </c>
      <c r="I8" s="4" t="str">
        <f t="shared" si="1"/>
        <v>N1103</v>
      </c>
      <c r="J8" s="54" t="s">
        <v>433</v>
      </c>
      <c r="K8" s="4" t="s">
        <v>290</v>
      </c>
      <c r="M8" s="1" t="s">
        <v>263</v>
      </c>
      <c r="N8" s="1" t="s">
        <v>264</v>
      </c>
      <c r="P8" s="54" t="s">
        <v>445</v>
      </c>
    </row>
    <row r="9" spans="1:17" ht="14.25">
      <c r="A9" s="4">
        <f t="shared" si="2"/>
        <v>5</v>
      </c>
      <c r="B9" s="4">
        <v>1104</v>
      </c>
      <c r="C9" s="4" t="s">
        <v>120</v>
      </c>
      <c r="D9" s="4" t="s">
        <v>109</v>
      </c>
      <c r="E9" s="4" t="s">
        <v>33</v>
      </c>
      <c r="F9" s="4" t="s">
        <v>33</v>
      </c>
      <c r="G9" s="4">
        <v>1</v>
      </c>
      <c r="H9" s="4">
        <v>0</v>
      </c>
      <c r="I9" s="4" t="str">
        <f t="shared" si="1"/>
        <v>N1104</v>
      </c>
      <c r="J9" s="54" t="s">
        <v>434</v>
      </c>
      <c r="K9" s="4" t="s">
        <v>291</v>
      </c>
      <c r="M9" s="1" t="s">
        <v>435</v>
      </c>
      <c r="N9" s="1"/>
      <c r="O9" s="58" t="s">
        <v>483</v>
      </c>
    </row>
    <row r="10" spans="1:17" ht="14.25">
      <c r="A10" s="4">
        <f t="shared" si="2"/>
        <v>6</v>
      </c>
      <c r="B10" s="4">
        <v>1105</v>
      </c>
      <c r="C10" s="4" t="s">
        <v>118</v>
      </c>
      <c r="D10" s="4" t="s">
        <v>109</v>
      </c>
      <c r="E10" s="4" t="s">
        <v>109</v>
      </c>
      <c r="F10" s="4" t="s">
        <v>109</v>
      </c>
      <c r="G10" s="4">
        <v>1</v>
      </c>
      <c r="H10" s="4">
        <v>0</v>
      </c>
      <c r="I10" s="4" t="str">
        <f t="shared" si="1"/>
        <v>N1105</v>
      </c>
      <c r="J10" s="54" t="s">
        <v>436</v>
      </c>
      <c r="K10" s="4" t="s">
        <v>292</v>
      </c>
      <c r="M10" s="1" t="s">
        <v>265</v>
      </c>
      <c r="N10" s="1"/>
    </row>
    <row r="11" spans="1:17" ht="14.25">
      <c r="A11" s="4">
        <f t="shared" si="2"/>
        <v>7</v>
      </c>
      <c r="B11" s="4">
        <v>1106</v>
      </c>
      <c r="C11" s="4" t="s">
        <v>422</v>
      </c>
      <c r="D11" s="4" t="s">
        <v>133</v>
      </c>
      <c r="E11" s="4" t="s">
        <v>20</v>
      </c>
      <c r="F11" s="4" t="s">
        <v>663</v>
      </c>
      <c r="G11" s="4">
        <v>0</v>
      </c>
      <c r="H11" s="4">
        <v>0</v>
      </c>
      <c r="I11" s="4" t="str">
        <f t="shared" si="1"/>
        <v>N1106</v>
      </c>
      <c r="J11" s="54" t="s">
        <v>423</v>
      </c>
      <c r="K11" s="4" t="str">
        <f>IF(UPPER(RIGHT(D11,7))="UNKNOWN","暫無解答",IF(ISBLANK(D11),"",IF(ISNUMBER(VALUE(RIGHT(D11,1))),"",D11)))</f>
        <v/>
      </c>
      <c r="L11" s="4" t="str">
        <f>IF(UPPER(RIGHT(E11,7))="UNKNOWN","暫無解答",IF(ISBLANK(E11),"",IF(ISNUMBER(VALUE(RIGHT(E11,1))),"",E11)))</f>
        <v/>
      </c>
      <c r="M11" s="17" t="s">
        <v>559</v>
      </c>
      <c r="N11" s="1"/>
    </row>
    <row r="12" spans="1:17" ht="14.25">
      <c r="A12" s="4">
        <f t="shared" si="2"/>
        <v>8</v>
      </c>
      <c r="B12" s="4">
        <v>1107</v>
      </c>
      <c r="C12" s="4" t="s">
        <v>123</v>
      </c>
      <c r="D12" s="4" t="s">
        <v>134</v>
      </c>
      <c r="E12" s="4" t="s">
        <v>110</v>
      </c>
      <c r="F12" s="4" t="s">
        <v>110</v>
      </c>
      <c r="G12" s="4">
        <v>1</v>
      </c>
      <c r="H12" s="4">
        <v>0</v>
      </c>
      <c r="I12" s="4" t="str">
        <f t="shared" si="1"/>
        <v>N1107</v>
      </c>
      <c r="J12" s="54" t="s">
        <v>529</v>
      </c>
      <c r="K12" s="4" t="s">
        <v>293</v>
      </c>
      <c r="M12" s="17" t="s">
        <v>536</v>
      </c>
      <c r="N12" s="1" t="s">
        <v>266</v>
      </c>
      <c r="P12" s="58" t="s">
        <v>533</v>
      </c>
    </row>
    <row r="13" spans="1:17" ht="14.25">
      <c r="A13" s="4">
        <f t="shared" si="2"/>
        <v>9</v>
      </c>
      <c r="B13" s="4">
        <v>1108</v>
      </c>
      <c r="C13" s="4" t="s">
        <v>124</v>
      </c>
      <c r="D13" s="4" t="s">
        <v>134</v>
      </c>
      <c r="E13" s="4" t="s">
        <v>134</v>
      </c>
      <c r="F13" s="4" t="s">
        <v>134</v>
      </c>
      <c r="G13" s="4">
        <v>1</v>
      </c>
      <c r="H13" s="4">
        <v>0</v>
      </c>
      <c r="I13" s="4" t="str">
        <f t="shared" si="1"/>
        <v>N1108</v>
      </c>
      <c r="J13" s="54" t="s">
        <v>485</v>
      </c>
      <c r="K13" s="4" t="s">
        <v>294</v>
      </c>
      <c r="M13" s="17" t="s">
        <v>537</v>
      </c>
      <c r="N13" s="1" t="s">
        <v>267</v>
      </c>
      <c r="O13" s="4" t="s">
        <v>289</v>
      </c>
      <c r="P13" s="58" t="s">
        <v>535</v>
      </c>
    </row>
    <row r="14" spans="1:17" ht="14.25">
      <c r="A14" s="4">
        <f t="shared" si="2"/>
        <v>10</v>
      </c>
      <c r="B14" s="4">
        <v>1109</v>
      </c>
      <c r="C14" s="4" t="s">
        <v>125</v>
      </c>
      <c r="D14" s="4" t="s">
        <v>426</v>
      </c>
      <c r="E14" s="4" t="s">
        <v>426</v>
      </c>
      <c r="F14" s="4" t="s">
        <v>426</v>
      </c>
      <c r="G14" s="4">
        <v>1</v>
      </c>
      <c r="H14" s="4">
        <v>0</v>
      </c>
      <c r="I14" s="4" t="str">
        <f t="shared" si="1"/>
        <v>N1109</v>
      </c>
      <c r="J14" s="4" t="s">
        <v>486</v>
      </c>
      <c r="K14" s="4" t="s">
        <v>295</v>
      </c>
      <c r="M14" s="1" t="s">
        <v>268</v>
      </c>
      <c r="N14" s="1"/>
      <c r="O14" s="4" t="s">
        <v>296</v>
      </c>
    </row>
    <row r="15" spans="1:17" ht="14.25">
      <c r="A15" s="4">
        <f t="shared" si="2"/>
        <v>11</v>
      </c>
      <c r="B15" s="4">
        <v>1150</v>
      </c>
      <c r="C15" s="4" t="s">
        <v>122</v>
      </c>
      <c r="D15" s="4" t="s">
        <v>424</v>
      </c>
      <c r="E15" s="4" t="s">
        <v>424</v>
      </c>
      <c r="F15" s="4" t="s">
        <v>424</v>
      </c>
      <c r="G15" s="4">
        <v>1</v>
      </c>
      <c r="H15" s="4">
        <v>0</v>
      </c>
      <c r="I15" s="4" t="str">
        <f t="shared" si="1"/>
        <v>N1150</v>
      </c>
      <c r="J15" s="4" t="s">
        <v>297</v>
      </c>
      <c r="K15" s="4" t="s">
        <v>298</v>
      </c>
      <c r="M15" s="1" t="s">
        <v>269</v>
      </c>
      <c r="N15" s="1"/>
    </row>
    <row r="16" spans="1:17" ht="14.25">
      <c r="A16" s="4">
        <f t="shared" si="2"/>
        <v>12</v>
      </c>
      <c r="B16" s="4">
        <v>1151</v>
      </c>
      <c r="C16" s="4" t="s">
        <v>121</v>
      </c>
      <c r="D16" s="4" t="s">
        <v>425</v>
      </c>
      <c r="E16" s="4" t="s">
        <v>425</v>
      </c>
      <c r="F16" s="4" t="s">
        <v>425</v>
      </c>
      <c r="G16" s="4">
        <v>1</v>
      </c>
      <c r="H16" s="4">
        <v>0</v>
      </c>
      <c r="I16" s="4" t="str">
        <f t="shared" si="1"/>
        <v>N1151</v>
      </c>
      <c r="J16" s="54" t="s">
        <v>487</v>
      </c>
      <c r="K16" s="54" t="s">
        <v>482</v>
      </c>
      <c r="M16" s="1" t="s">
        <v>270</v>
      </c>
      <c r="N16" s="1" t="s">
        <v>271</v>
      </c>
    </row>
    <row r="17" spans="1:16" ht="14.25">
      <c r="A17" s="4">
        <f t="shared" si="2"/>
        <v>13</v>
      </c>
      <c r="B17" s="4">
        <v>1152</v>
      </c>
      <c r="C17" s="4" t="s">
        <v>185</v>
      </c>
      <c r="D17" s="4" t="s">
        <v>23</v>
      </c>
      <c r="E17" s="4" t="s">
        <v>23</v>
      </c>
      <c r="F17" s="4" t="s">
        <v>23</v>
      </c>
      <c r="G17" s="4">
        <v>1</v>
      </c>
      <c r="H17" s="4">
        <v>0</v>
      </c>
      <c r="I17" s="4" t="str">
        <f t="shared" si="1"/>
        <v>N1152</v>
      </c>
      <c r="J17" s="54" t="s">
        <v>488</v>
      </c>
      <c r="K17" s="4" t="s">
        <v>299</v>
      </c>
      <c r="M17" s="1" t="s">
        <v>272</v>
      </c>
      <c r="N17" s="3" t="s">
        <v>273</v>
      </c>
    </row>
    <row r="18" spans="1:16">
      <c r="N18" s="1"/>
    </row>
    <row r="19" spans="1:16" ht="14.25">
      <c r="A19" s="4" t="s">
        <v>300</v>
      </c>
      <c r="G19" s="4" t="str">
        <f>IF(ISBLANK(D19),"",IF(ISNUMBER(VALUE(RIGHT(D19,1))),"",IF(UPPER(RIGHT(D19,7))="UNKNOWN","",0.1)))</f>
        <v/>
      </c>
      <c r="H19" s="4" t="str">
        <f>IF(ISBLANK(E19),"",IF(ISNUMBER(VALUE(RIGHT(E19,1))),"",IF(UPPER(RIGHT(E19,7))="UNKNOWN","",0.1)))</f>
        <v/>
      </c>
      <c r="J19" s="61" t="s">
        <v>301</v>
      </c>
      <c r="K19" s="4" t="str">
        <f>IF(UPPER(RIGHT(D19,7))="UNKNOWN","暫無解答",IF(ISBLANK(D19),"",IF(ISNUMBER(VALUE(RIGHT(D19,1))),"",D19)))</f>
        <v/>
      </c>
      <c r="L19" s="4" t="str">
        <f>IF(UPPER(RIGHT(E19,7))="UNKNOWN","暫無解答",IF(ISBLANK(E19),"",IF(ISNUMBER(VALUE(RIGHT(E19,1))),"",E19)))</f>
        <v/>
      </c>
      <c r="N19" s="23"/>
    </row>
    <row r="20" spans="1:16" ht="14.25">
      <c r="A20" s="4">
        <f>+A17+1</f>
        <v>14</v>
      </c>
      <c r="B20" s="4">
        <v>1201</v>
      </c>
      <c r="C20" s="4" t="s">
        <v>126</v>
      </c>
      <c r="D20" s="4" t="s">
        <v>416</v>
      </c>
      <c r="E20" s="4" t="s">
        <v>25</v>
      </c>
      <c r="F20" s="4" t="s">
        <v>24</v>
      </c>
      <c r="G20" s="4">
        <v>1</v>
      </c>
      <c r="H20" s="4">
        <v>0</v>
      </c>
      <c r="I20" s="4" t="str">
        <f>IF(ISBLANK(B20),"",CONCATENATE("N",TEXT(B20,0),""))</f>
        <v>N1201</v>
      </c>
      <c r="J20" s="4" t="s">
        <v>428</v>
      </c>
      <c r="K20" s="4" t="s">
        <v>302</v>
      </c>
      <c r="M20" s="1" t="s">
        <v>274</v>
      </c>
      <c r="N20" s="1" t="s">
        <v>275</v>
      </c>
      <c r="P20" s="4" t="s">
        <v>446</v>
      </c>
    </row>
    <row r="21" spans="1:16" ht="14.25">
      <c r="A21" s="4">
        <f>+A20+1</f>
        <v>15</v>
      </c>
      <c r="B21" s="4">
        <v>1202</v>
      </c>
      <c r="C21" s="4" t="s">
        <v>127</v>
      </c>
      <c r="D21" s="4" t="s">
        <v>25</v>
      </c>
      <c r="E21" s="4" t="s">
        <v>25</v>
      </c>
      <c r="F21" s="4" t="s">
        <v>25</v>
      </c>
      <c r="G21" s="4">
        <v>1</v>
      </c>
      <c r="H21" s="4">
        <v>0</v>
      </c>
      <c r="I21" s="4" t="str">
        <f>IF(ISBLANK(B21),"",CONCATENATE("N",TEXT(B21,0),""))</f>
        <v>N1202</v>
      </c>
      <c r="J21" s="54" t="s">
        <v>432</v>
      </c>
      <c r="K21" s="4" t="s">
        <v>303</v>
      </c>
      <c r="M21" s="17" t="s">
        <v>538</v>
      </c>
      <c r="N21" s="1" t="s">
        <v>276</v>
      </c>
      <c r="O21" s="4" t="s">
        <v>540</v>
      </c>
      <c r="P21" s="4" t="s">
        <v>539</v>
      </c>
    </row>
    <row r="22" spans="1:16">
      <c r="N22" s="1"/>
    </row>
    <row r="23" spans="1:16" ht="14.25">
      <c r="A23" s="4" t="s">
        <v>304</v>
      </c>
      <c r="J23" s="61" t="s">
        <v>305</v>
      </c>
      <c r="N23" s="8"/>
    </row>
    <row r="24" spans="1:16" ht="14.25">
      <c r="A24" s="4">
        <f>+A21+1</f>
        <v>16</v>
      </c>
      <c r="B24" s="4">
        <v>1301</v>
      </c>
      <c r="C24" s="4" t="s">
        <v>128</v>
      </c>
      <c r="D24" s="4" t="s">
        <v>429</v>
      </c>
      <c r="E24" s="4" t="s">
        <v>150</v>
      </c>
      <c r="F24" s="4" t="s">
        <v>150</v>
      </c>
      <c r="G24" s="4">
        <v>1</v>
      </c>
      <c r="H24" s="4">
        <v>0</v>
      </c>
      <c r="I24" s="4" t="str">
        <f>IF(ISBLANK(B24),"",CONCATENATE("N",TEXT(B24,0),""))</f>
        <v>N1301</v>
      </c>
      <c r="J24" s="54" t="s">
        <v>437</v>
      </c>
      <c r="K24" s="4" t="s">
        <v>306</v>
      </c>
      <c r="M24" s="1" t="s">
        <v>277</v>
      </c>
      <c r="N24" s="1" t="s">
        <v>278</v>
      </c>
    </row>
    <row r="25" spans="1:16" ht="14.25">
      <c r="A25" s="4">
        <f>+A24+1</f>
        <v>17</v>
      </c>
      <c r="B25" s="4">
        <v>1302</v>
      </c>
      <c r="C25" s="4" t="s">
        <v>129</v>
      </c>
      <c r="D25" s="4" t="s">
        <v>429</v>
      </c>
      <c r="E25" s="4" t="s">
        <v>431</v>
      </c>
      <c r="F25" s="4" t="s">
        <v>26</v>
      </c>
      <c r="G25" s="4">
        <v>1</v>
      </c>
      <c r="H25" s="4">
        <v>0</v>
      </c>
      <c r="I25" s="4" t="str">
        <f>IF(ISBLANK(B25),"",CONCATENATE("N",TEXT(B25,0),""))</f>
        <v>N1302</v>
      </c>
      <c r="J25" s="54" t="s">
        <v>430</v>
      </c>
      <c r="K25" s="4" t="s">
        <v>307</v>
      </c>
      <c r="M25" s="1" t="s">
        <v>279</v>
      </c>
      <c r="N25" s="3" t="s">
        <v>280</v>
      </c>
      <c r="P25" s="58" t="s">
        <v>447</v>
      </c>
    </row>
    <row r="26" spans="1:16" ht="14.25">
      <c r="A26" s="4">
        <f>+A25+1</f>
        <v>18</v>
      </c>
      <c r="B26" s="4">
        <v>1304</v>
      </c>
      <c r="C26" s="4" t="s">
        <v>130</v>
      </c>
      <c r="D26" s="4" t="s">
        <v>183</v>
      </c>
      <c r="E26" s="4" t="s">
        <v>183</v>
      </c>
      <c r="F26" s="4" t="s">
        <v>183</v>
      </c>
      <c r="G26" s="4">
        <v>1</v>
      </c>
      <c r="H26" s="4">
        <v>1</v>
      </c>
      <c r="I26" s="4" t="str">
        <f>IF(ISBLANK(B26),"",CONCATENATE("N",TEXT(B26,0),""))</f>
        <v>N1304</v>
      </c>
      <c r="J26" s="54" t="s">
        <v>427</v>
      </c>
      <c r="K26" s="4" t="s">
        <v>308</v>
      </c>
      <c r="L26" s="54" t="s">
        <v>419</v>
      </c>
      <c r="M26" s="4" t="s">
        <v>309</v>
      </c>
      <c r="N26" s="3" t="s">
        <v>281</v>
      </c>
      <c r="P26" s="58" t="s">
        <v>448</v>
      </c>
    </row>
    <row r="27" spans="1:16" ht="14.25">
      <c r="A27" s="4">
        <f>+A26+1</f>
        <v>19</v>
      </c>
      <c r="B27" s="4">
        <v>1305</v>
      </c>
      <c r="C27" s="4" t="s">
        <v>415</v>
      </c>
      <c r="D27" s="4" t="s">
        <v>429</v>
      </c>
      <c r="E27" s="4" t="s">
        <v>417</v>
      </c>
      <c r="F27" s="4" t="s">
        <v>417</v>
      </c>
      <c r="G27" s="4">
        <v>1</v>
      </c>
      <c r="H27" s="4">
        <v>0</v>
      </c>
      <c r="I27" s="4" t="str">
        <f>IF(ISBLANK(B27),"",CONCATENATE("N",TEXT(B27,0),""))</f>
        <v>N1305</v>
      </c>
      <c r="J27" s="58" t="s">
        <v>438</v>
      </c>
      <c r="K27" s="58" t="s">
        <v>414</v>
      </c>
      <c r="M27" s="17" t="s">
        <v>418</v>
      </c>
      <c r="N27" s="1"/>
      <c r="P27" s="4" t="s">
        <v>449</v>
      </c>
    </row>
    <row r="28" spans="1:16" ht="14.25">
      <c r="A28" s="4">
        <f>+A27+1</f>
        <v>20</v>
      </c>
      <c r="B28" s="4">
        <v>1306</v>
      </c>
      <c r="C28" s="4" t="s">
        <v>310</v>
      </c>
      <c r="D28" s="4" t="s">
        <v>53</v>
      </c>
      <c r="E28" s="4" t="s">
        <v>53</v>
      </c>
      <c r="F28" s="4" t="s">
        <v>53</v>
      </c>
      <c r="G28" s="4">
        <v>1</v>
      </c>
      <c r="H28" s="4">
        <v>0</v>
      </c>
      <c r="I28" s="4" t="str">
        <f>IF(ISBLANK(B28),"",CONCATENATE("N",TEXT(B28,0),""))</f>
        <v>N1306</v>
      </c>
      <c r="J28" s="4" t="s">
        <v>310</v>
      </c>
      <c r="K28" s="4" t="s">
        <v>288</v>
      </c>
      <c r="M28" s="1" t="s">
        <v>282</v>
      </c>
    </row>
    <row r="30" spans="1:16" s="1" customFormat="1" ht="14.25">
      <c r="B30" s="11"/>
      <c r="C30" s="11"/>
      <c r="D30" s="11"/>
      <c r="E30" s="11"/>
      <c r="F30" s="11"/>
      <c r="G30" s="11" t="s">
        <v>59</v>
      </c>
      <c r="H30" s="11" t="s">
        <v>60</v>
      </c>
      <c r="I30" s="11"/>
      <c r="J30" s="11"/>
      <c r="K30" s="11"/>
      <c r="L30" s="11"/>
      <c r="M30" s="11"/>
      <c r="N30" s="11"/>
    </row>
    <row r="31" spans="1:16" ht="14.25">
      <c r="A31" s="4">
        <f>+A28+1</f>
        <v>21</v>
      </c>
      <c r="B31" s="55">
        <v>1000</v>
      </c>
      <c r="C31" s="55" t="s">
        <v>254</v>
      </c>
      <c r="D31" s="55" t="s">
        <v>255</v>
      </c>
      <c r="E31" s="55" t="s">
        <v>256</v>
      </c>
      <c r="F31" s="55"/>
      <c r="G31" s="55">
        <v>1</v>
      </c>
      <c r="H31" s="55">
        <v>1</v>
      </c>
      <c r="I31" s="55"/>
      <c r="J31" s="62" t="s">
        <v>311</v>
      </c>
      <c r="K31" s="55"/>
      <c r="L31" s="55"/>
      <c r="M31" s="11"/>
      <c r="N31" s="55"/>
    </row>
    <row r="32" spans="1:16" s="1" customFormat="1" ht="14.25">
      <c r="B32" s="11"/>
      <c r="C32" s="11"/>
      <c r="D32" s="11"/>
      <c r="E32" s="11"/>
      <c r="F32" s="11"/>
      <c r="G32" s="27" t="s">
        <v>283</v>
      </c>
      <c r="H32" s="27" t="s">
        <v>283</v>
      </c>
      <c r="I32" s="11"/>
      <c r="J32" s="11"/>
      <c r="K32" s="11"/>
      <c r="L32" s="9"/>
      <c r="M32" s="11"/>
      <c r="N32" s="11"/>
    </row>
    <row r="33" spans="1:13" s="6" customFormat="1">
      <c r="H33" s="63"/>
      <c r="M33" s="1"/>
    </row>
    <row r="34" spans="1:13" s="1" customFormat="1">
      <c r="A34" s="1">
        <f>+A31+1</f>
        <v>22</v>
      </c>
      <c r="B34" s="11">
        <v>0</v>
      </c>
      <c r="C34" s="8"/>
      <c r="D34" s="8"/>
      <c r="E34" s="8"/>
      <c r="F34" s="27" t="s">
        <v>257</v>
      </c>
      <c r="J34" s="1" t="str">
        <f>IF(ISBLANK(C34), "", C34)</f>
        <v/>
      </c>
    </row>
  </sheetData>
  <phoneticPr fontId="1"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110"/>
  <sheetViews>
    <sheetView zoomScaleNormal="100" workbookViewId="0">
      <pane xSplit="2" ySplit="1" topLeftCell="C2" activePane="bottomRight" state="frozen"/>
      <selection pane="topRight" activeCell="C1" sqref="C1"/>
      <selection pane="bottomLeft" activeCell="A2" sqref="A2"/>
      <selection pane="bottomRight" activeCell="J3" sqref="J3"/>
    </sheetView>
  </sheetViews>
  <sheetFormatPr defaultRowHeight="12.75"/>
  <cols>
    <col min="1" max="2" width="5.625" style="1" customWidth="1"/>
    <col min="3" max="3" width="30.625" style="12" customWidth="1"/>
    <col min="4" max="4" width="5.625" style="8" customWidth="1"/>
    <col min="5" max="5" width="6.625" style="8" customWidth="1"/>
    <col min="6" max="6" width="7.625" style="8" customWidth="1"/>
    <col min="7" max="9" width="7.625" style="1" customWidth="1"/>
    <col min="10" max="10" width="20.625" style="1" customWidth="1"/>
    <col min="11" max="11" width="20.625" style="8" customWidth="1"/>
    <col min="12" max="16" width="20.625" style="1" customWidth="1"/>
    <col min="17" max="17" width="17.625" style="1" customWidth="1"/>
    <col min="18" max="16384" width="9" style="1"/>
  </cols>
  <sheetData>
    <row r="1" spans="1:17" ht="14.25">
      <c r="A1" s="1" t="s">
        <v>12</v>
      </c>
      <c r="B1" s="1" t="s">
        <v>31</v>
      </c>
      <c r="C1" s="8" t="s">
        <v>2</v>
      </c>
      <c r="D1" s="8" t="s">
        <v>251</v>
      </c>
      <c r="E1" s="8" t="s">
        <v>15</v>
      </c>
      <c r="F1" s="9" t="s">
        <v>131</v>
      </c>
      <c r="G1" s="1" t="s">
        <v>16</v>
      </c>
      <c r="H1" s="1" t="s">
        <v>252</v>
      </c>
      <c r="I1" s="8" t="s">
        <v>18</v>
      </c>
      <c r="J1" s="10" t="s">
        <v>65</v>
      </c>
      <c r="K1" s="8" t="s">
        <v>513</v>
      </c>
      <c r="L1" s="1" t="s">
        <v>67</v>
      </c>
      <c r="M1" s="11" t="s">
        <v>258</v>
      </c>
      <c r="N1" s="11" t="s">
        <v>312</v>
      </c>
      <c r="O1" s="1" t="s">
        <v>260</v>
      </c>
      <c r="P1" s="1" t="s">
        <v>261</v>
      </c>
      <c r="Q1" s="1" t="s">
        <v>608</v>
      </c>
    </row>
    <row r="2" spans="1:17" ht="14.25">
      <c r="A2" s="2" t="s">
        <v>132</v>
      </c>
      <c r="G2" s="1" t="str">
        <f t="shared" ref="G2:H5" si="0">IF(ISBLANK(D2),"",IF(ISNUMBER(VALUE(RIGHT(D2,1))),"",IF(UPPER(RIGHT(D2,7))="UNKNOWN","",0.1)))</f>
        <v/>
      </c>
      <c r="H2" s="1" t="str">
        <f t="shared" si="0"/>
        <v/>
      </c>
      <c r="J2" s="13" t="s">
        <v>639</v>
      </c>
      <c r="L2" s="1" t="str">
        <f>IF(UPPER(RIGHT(E2,7))="UNKNOWN","暫無解答",IF(ISBLANK(E2),"",IF(ISNUMBER(VALUE(RIGHT(E2,1))),"",E2)))</f>
        <v/>
      </c>
    </row>
    <row r="3" spans="1:17" ht="14.25">
      <c r="A3" s="2">
        <v>1</v>
      </c>
      <c r="B3" s="1">
        <v>1</v>
      </c>
      <c r="C3" s="14" t="s">
        <v>1173</v>
      </c>
      <c r="D3" s="8" t="s">
        <v>641</v>
      </c>
      <c r="E3" s="8" t="s">
        <v>29</v>
      </c>
      <c r="F3" s="8" t="s">
        <v>652</v>
      </c>
      <c r="G3" s="1">
        <v>0</v>
      </c>
      <c r="H3" s="1">
        <v>0</v>
      </c>
      <c r="I3" s="1" t="s">
        <v>563</v>
      </c>
      <c r="J3" s="15" t="s">
        <v>1207</v>
      </c>
      <c r="K3" s="16" t="s">
        <v>645</v>
      </c>
      <c r="L3" s="17" t="s">
        <v>646</v>
      </c>
      <c r="M3" s="17" t="s">
        <v>564</v>
      </c>
      <c r="Q3" s="15" t="s">
        <v>637</v>
      </c>
    </row>
    <row r="4" spans="1:17">
      <c r="A4" s="2"/>
      <c r="J4" s="18"/>
    </row>
    <row r="5" spans="1:17" ht="14.25">
      <c r="A5" s="1" t="s">
        <v>140</v>
      </c>
      <c r="G5" s="1" t="str">
        <f t="shared" si="0"/>
        <v/>
      </c>
      <c r="H5" s="1" t="str">
        <f t="shared" si="0"/>
        <v/>
      </c>
      <c r="J5" s="19" t="s">
        <v>313</v>
      </c>
      <c r="L5" s="1" t="str">
        <f>IF(UPPER(RIGHT(E5,7))="UNKNOWN","暫無解答",IF(ISBLANK(E5),"",IF(ISNUMBER(VALUE(RIGHT(E5,1))),"",E5)))</f>
        <v/>
      </c>
    </row>
    <row r="6" spans="1:17" ht="14.25">
      <c r="A6" s="1">
        <f>+A3+1</f>
        <v>2</v>
      </c>
      <c r="B6" s="1">
        <v>1101</v>
      </c>
      <c r="C6" s="1" t="str">
        <f>CONCATENATE("Q",TEXT(B6,0),"")</f>
        <v>Q1101</v>
      </c>
      <c r="D6" s="8" t="s">
        <v>32</v>
      </c>
      <c r="E6" s="8" t="s">
        <v>23</v>
      </c>
      <c r="F6" s="8" t="s">
        <v>651</v>
      </c>
      <c r="G6" s="1">
        <v>0</v>
      </c>
      <c r="H6" s="1">
        <v>0</v>
      </c>
      <c r="J6" s="8" t="s">
        <v>314</v>
      </c>
      <c r="L6" s="1" t="str">
        <f>IF(UPPER(RIGHT(E6,7))="UNKNOWN","暫無解答",IF(ISBLANK(E6),"",IF(ISNUMBER(VALUE(RIGHT(E6,1))),"",E6)))</f>
        <v/>
      </c>
    </row>
    <row r="7" spans="1:17" ht="14.25">
      <c r="A7" s="1">
        <f>+A6+1</f>
        <v>3</v>
      </c>
      <c r="B7" s="1">
        <v>1102</v>
      </c>
      <c r="C7" s="1" t="str">
        <f t="shared" ref="C7:C16" si="1">CONCATENATE("Q",TEXT(B7,0),"")</f>
        <v>Q1102</v>
      </c>
      <c r="D7" s="8" t="s">
        <v>82</v>
      </c>
      <c r="E7" s="8" t="s">
        <v>82</v>
      </c>
      <c r="F7" s="8" t="s">
        <v>82</v>
      </c>
      <c r="G7" s="1">
        <v>1</v>
      </c>
      <c r="H7" s="1">
        <v>0</v>
      </c>
      <c r="I7" s="1" t="str">
        <f t="shared" ref="I7:I15" si="2">IF(ISBLANK(B7),"",CONCATENATE("N",TEXT(B7,0),""))</f>
        <v>N1102</v>
      </c>
      <c r="J7" s="8" t="s">
        <v>315</v>
      </c>
      <c r="K7" s="20" t="s">
        <v>489</v>
      </c>
      <c r="M7" s="1" t="s">
        <v>316</v>
      </c>
      <c r="N7" s="17" t="s">
        <v>565</v>
      </c>
      <c r="O7" s="17" t="s">
        <v>572</v>
      </c>
    </row>
    <row r="8" spans="1:17" ht="14.25">
      <c r="A8" s="1">
        <f t="shared" ref="A8:A16" si="3">+A7+1</f>
        <v>4</v>
      </c>
      <c r="B8" s="1">
        <v>1103</v>
      </c>
      <c r="C8" s="1" t="str">
        <f t="shared" si="1"/>
        <v>Q1103</v>
      </c>
      <c r="D8" s="8" t="s">
        <v>187</v>
      </c>
      <c r="E8" s="8" t="s">
        <v>187</v>
      </c>
      <c r="F8" s="8" t="s">
        <v>187</v>
      </c>
      <c r="G8" s="1">
        <v>1</v>
      </c>
      <c r="H8" s="1">
        <v>0</v>
      </c>
      <c r="I8" s="1" t="str">
        <f t="shared" si="2"/>
        <v>N1103</v>
      </c>
      <c r="J8" s="8" t="s">
        <v>317</v>
      </c>
      <c r="K8" s="8" t="s">
        <v>318</v>
      </c>
      <c r="M8" s="1" t="s">
        <v>491</v>
      </c>
      <c r="N8" s="1" t="s">
        <v>173</v>
      </c>
      <c r="O8" s="17" t="s">
        <v>574</v>
      </c>
      <c r="P8" s="17" t="s">
        <v>601</v>
      </c>
    </row>
    <row r="9" spans="1:17" ht="14.25">
      <c r="A9" s="1">
        <f t="shared" si="3"/>
        <v>5</v>
      </c>
      <c r="B9" s="1">
        <v>1104</v>
      </c>
      <c r="C9" s="1" t="str">
        <f t="shared" si="1"/>
        <v>Q1104</v>
      </c>
      <c r="D9" s="8" t="s">
        <v>33</v>
      </c>
      <c r="E9" s="8" t="s">
        <v>33</v>
      </c>
      <c r="F9" s="8" t="s">
        <v>33</v>
      </c>
      <c r="G9" s="1">
        <v>1</v>
      </c>
      <c r="H9" s="1">
        <v>0</v>
      </c>
      <c r="I9" s="1" t="str">
        <f t="shared" si="2"/>
        <v>N1104</v>
      </c>
      <c r="J9" s="8" t="s">
        <v>319</v>
      </c>
      <c r="K9" s="8" t="s">
        <v>320</v>
      </c>
      <c r="M9" s="17" t="s">
        <v>490</v>
      </c>
      <c r="O9" s="17" t="s">
        <v>574</v>
      </c>
    </row>
    <row r="10" spans="1:17" ht="14.25">
      <c r="A10" s="1">
        <f t="shared" si="3"/>
        <v>6</v>
      </c>
      <c r="B10" s="1">
        <v>1105</v>
      </c>
      <c r="C10" s="1" t="str">
        <f t="shared" si="1"/>
        <v>Q1105</v>
      </c>
      <c r="D10" s="8" t="s">
        <v>109</v>
      </c>
      <c r="E10" s="8" t="s">
        <v>109</v>
      </c>
      <c r="F10" s="8" t="s">
        <v>109</v>
      </c>
      <c r="G10" s="1">
        <v>1</v>
      </c>
      <c r="H10" s="1">
        <v>0</v>
      </c>
      <c r="I10" s="1" t="str">
        <f>IF(ISBLANK(B10),"",CONCATENATE("N",TEXT(B10,0),""))</f>
        <v>N1105</v>
      </c>
      <c r="J10" s="8" t="s">
        <v>321</v>
      </c>
      <c r="K10" s="8" t="s">
        <v>322</v>
      </c>
      <c r="M10" s="17" t="s">
        <v>492</v>
      </c>
      <c r="O10" s="1" t="s">
        <v>573</v>
      </c>
      <c r="P10" s="17" t="s">
        <v>600</v>
      </c>
    </row>
    <row r="11" spans="1:17" ht="14.25">
      <c r="A11" s="1">
        <f t="shared" si="3"/>
        <v>7</v>
      </c>
      <c r="B11" s="1">
        <v>1106</v>
      </c>
      <c r="C11" s="1" t="str">
        <f t="shared" si="1"/>
        <v>Q1106</v>
      </c>
      <c r="D11" s="8" t="s">
        <v>133</v>
      </c>
      <c r="E11" s="8" t="s">
        <v>133</v>
      </c>
      <c r="F11" s="8" t="s">
        <v>133</v>
      </c>
      <c r="G11" s="1">
        <v>1</v>
      </c>
      <c r="H11" s="1">
        <v>0</v>
      </c>
      <c r="I11" s="1" t="str">
        <f t="shared" si="2"/>
        <v>N1106</v>
      </c>
      <c r="J11" s="8" t="s">
        <v>323</v>
      </c>
      <c r="K11" s="8" t="s">
        <v>324</v>
      </c>
      <c r="L11" s="1" t="str">
        <f>IF(UPPER(RIGHT(E12,7))="UNKNOWN","暫無解答",IF(ISBLANK(E12),"",IF(ISNUMBER(VALUE(RIGHT(E12,1))),"",E12)))</f>
        <v/>
      </c>
      <c r="M11" s="1" t="s">
        <v>493</v>
      </c>
      <c r="N11" s="1" t="s">
        <v>325</v>
      </c>
      <c r="O11" s="17" t="s">
        <v>575</v>
      </c>
      <c r="P11" s="17" t="s">
        <v>602</v>
      </c>
    </row>
    <row r="12" spans="1:17" ht="14.25">
      <c r="A12" s="1">
        <f t="shared" si="3"/>
        <v>8</v>
      </c>
      <c r="B12" s="1">
        <v>1107</v>
      </c>
      <c r="C12" s="1" t="str">
        <f t="shared" si="1"/>
        <v>Q1107</v>
      </c>
      <c r="D12" s="8" t="s">
        <v>110</v>
      </c>
      <c r="E12" s="8" t="s">
        <v>110</v>
      </c>
      <c r="F12" s="8" t="s">
        <v>110</v>
      </c>
      <c r="G12" s="1">
        <v>1</v>
      </c>
      <c r="H12" s="1">
        <v>0</v>
      </c>
      <c r="I12" s="1" t="str">
        <f t="shared" si="2"/>
        <v>N1107</v>
      </c>
      <c r="J12" s="8" t="s">
        <v>326</v>
      </c>
      <c r="K12" s="8" t="s">
        <v>327</v>
      </c>
      <c r="M12" s="1" t="s">
        <v>494</v>
      </c>
      <c r="N12" s="1" t="s">
        <v>328</v>
      </c>
      <c r="O12" s="1" t="s">
        <v>576</v>
      </c>
    </row>
    <row r="13" spans="1:17" ht="14.25">
      <c r="A13" s="1">
        <f t="shared" si="3"/>
        <v>9</v>
      </c>
      <c r="B13" s="1">
        <v>1108</v>
      </c>
      <c r="C13" s="1" t="str">
        <f t="shared" si="1"/>
        <v>Q1108</v>
      </c>
      <c r="D13" s="8" t="s">
        <v>134</v>
      </c>
      <c r="E13" s="8" t="s">
        <v>134</v>
      </c>
      <c r="F13" s="8" t="s">
        <v>134</v>
      </c>
      <c r="G13" s="1">
        <v>1</v>
      </c>
      <c r="H13" s="1">
        <v>0</v>
      </c>
      <c r="I13" s="1" t="str">
        <f t="shared" si="2"/>
        <v>N1108</v>
      </c>
      <c r="J13" s="8" t="s">
        <v>329</v>
      </c>
      <c r="K13" s="8" t="s">
        <v>330</v>
      </c>
      <c r="N13" s="17" t="s">
        <v>566</v>
      </c>
      <c r="O13" s="17" t="s">
        <v>577</v>
      </c>
    </row>
    <row r="14" spans="1:17" ht="14.25">
      <c r="A14" s="1">
        <f t="shared" si="3"/>
        <v>10</v>
      </c>
      <c r="B14" s="1">
        <v>1109</v>
      </c>
      <c r="C14" s="1" t="str">
        <f t="shared" si="1"/>
        <v>Q1109</v>
      </c>
      <c r="D14" s="8" t="s">
        <v>111</v>
      </c>
      <c r="E14" s="8" t="s">
        <v>111</v>
      </c>
      <c r="F14" s="8" t="s">
        <v>111</v>
      </c>
      <c r="G14" s="1">
        <v>1</v>
      </c>
      <c r="H14" s="1">
        <v>0</v>
      </c>
      <c r="I14" s="1" t="str">
        <f t="shared" si="2"/>
        <v>N1109</v>
      </c>
      <c r="J14" s="8" t="s">
        <v>331</v>
      </c>
      <c r="K14" s="8" t="s">
        <v>332</v>
      </c>
      <c r="L14" s="1" t="str">
        <f>IF(UPPER(RIGHT(E15,7))="UNKNOWN","暫無解答",IF(ISBLANK(E15),"",IF(ISNUMBER(VALUE(RIGHT(E15,1))),"",E15)))</f>
        <v/>
      </c>
      <c r="M14" s="1" t="s">
        <v>170</v>
      </c>
      <c r="N14" s="1" t="s">
        <v>169</v>
      </c>
      <c r="O14" s="17" t="s">
        <v>578</v>
      </c>
      <c r="P14" s="17" t="s">
        <v>603</v>
      </c>
    </row>
    <row r="15" spans="1:17" ht="14.25">
      <c r="A15" s="1">
        <f t="shared" si="3"/>
        <v>11</v>
      </c>
      <c r="B15" s="1">
        <v>1110</v>
      </c>
      <c r="C15" s="1" t="str">
        <f t="shared" si="1"/>
        <v>Q1110</v>
      </c>
      <c r="D15" s="8" t="s">
        <v>253</v>
      </c>
      <c r="E15" s="8" t="s">
        <v>253</v>
      </c>
      <c r="F15" s="8" t="s">
        <v>253</v>
      </c>
      <c r="G15" s="1">
        <v>1</v>
      </c>
      <c r="H15" s="1">
        <v>0</v>
      </c>
      <c r="I15" s="1" t="str">
        <f t="shared" si="2"/>
        <v>N1110</v>
      </c>
      <c r="J15" s="8" t="s">
        <v>333</v>
      </c>
      <c r="K15" s="8" t="s">
        <v>334</v>
      </c>
      <c r="M15" s="1" t="s">
        <v>335</v>
      </c>
      <c r="N15" s="1" t="s">
        <v>166</v>
      </c>
      <c r="O15" s="17" t="s">
        <v>584</v>
      </c>
    </row>
    <row r="16" spans="1:17" ht="14.25">
      <c r="A16" s="1">
        <f t="shared" si="3"/>
        <v>12</v>
      </c>
      <c r="B16" s="1">
        <v>1111</v>
      </c>
      <c r="C16" s="1" t="str">
        <f t="shared" si="1"/>
        <v>Q1111</v>
      </c>
      <c r="D16" s="8" t="s">
        <v>23</v>
      </c>
      <c r="E16" s="8" t="s">
        <v>23</v>
      </c>
      <c r="F16" s="8" t="s">
        <v>23</v>
      </c>
      <c r="G16" s="1">
        <v>1</v>
      </c>
      <c r="H16" s="1">
        <v>0</v>
      </c>
      <c r="I16" s="1" t="str">
        <f>IF(ISBLANK(B16),"",CONCATENATE("N",TEXT(B16,0),""))</f>
        <v>N1111</v>
      </c>
      <c r="J16" s="8" t="s">
        <v>336</v>
      </c>
      <c r="K16" s="8" t="s">
        <v>337</v>
      </c>
      <c r="M16" s="21" t="s">
        <v>495</v>
      </c>
      <c r="N16" s="8" t="s">
        <v>338</v>
      </c>
      <c r="O16" s="17" t="s">
        <v>579</v>
      </c>
    </row>
    <row r="17" spans="1:16">
      <c r="G17" s="1" t="str">
        <f>IF(ISBLANK(D17),"",IF(ISNUMBER(VALUE(RIGHT(D17,1))),"",IF(UPPER(RIGHT(D17,7))="UNKNOWN","",0.1)))</f>
        <v/>
      </c>
      <c r="H17" s="1" t="str">
        <f>IF(ISBLANK(E18),"",IF(ISNUMBER(VALUE(RIGHT(E18,1))),"",IF(UPPER(RIGHT(E18,7))="UNKNOWN","",0.1)))</f>
        <v/>
      </c>
      <c r="J17" s="8"/>
    </row>
    <row r="18" spans="1:16" ht="14.25">
      <c r="A18" s="1" t="s">
        <v>141</v>
      </c>
      <c r="G18" s="1" t="str">
        <f>IF(ISBLANK(D18),"",IF(ISNUMBER(VALUE(RIGHT(D18,1))),"",IF(UPPER(RIGHT(D18,7))="UNKNOWN","",0.1)))</f>
        <v/>
      </c>
      <c r="H18" s="1" t="str">
        <f>IF(ISBLANK(E19),"",IF(ISNUMBER(VALUE(RIGHT(E19,1))),"",IF(UPPER(RIGHT(E19,7))="UNKNOWN","",0.1)))</f>
        <v/>
      </c>
      <c r="J18" s="19" t="s">
        <v>339</v>
      </c>
    </row>
    <row r="19" spans="1:16" ht="14.25">
      <c r="A19" s="1">
        <f>+A16+1</f>
        <v>13</v>
      </c>
      <c r="B19" s="1">
        <v>1201</v>
      </c>
      <c r="C19" s="1" t="str">
        <f t="shared" ref="C19:C25" si="4">CONCATENATE("Q",TEXT(B19,0),"")</f>
        <v>Q1201</v>
      </c>
      <c r="D19" s="8" t="s">
        <v>24</v>
      </c>
      <c r="E19" s="8" t="s">
        <v>25</v>
      </c>
      <c r="F19" s="8" t="s">
        <v>650</v>
      </c>
      <c r="G19" s="1">
        <v>0</v>
      </c>
      <c r="H19" s="1">
        <v>0</v>
      </c>
      <c r="J19" s="8" t="s">
        <v>340</v>
      </c>
    </row>
    <row r="20" spans="1:16" ht="14.25">
      <c r="A20" s="1">
        <f t="shared" ref="A20:A25" si="5">+A19+1</f>
        <v>14</v>
      </c>
      <c r="B20" s="1">
        <v>1202</v>
      </c>
      <c r="C20" s="1" t="str">
        <f t="shared" si="4"/>
        <v>Q1202</v>
      </c>
      <c r="D20" s="8" t="s">
        <v>135</v>
      </c>
      <c r="E20" s="8" t="s">
        <v>135</v>
      </c>
      <c r="F20" s="8" t="s">
        <v>135</v>
      </c>
      <c r="G20" s="1">
        <v>1</v>
      </c>
      <c r="H20" s="1">
        <v>0</v>
      </c>
      <c r="I20" s="1" t="str">
        <f t="shared" ref="I20:I25" si="6">IF(ISBLANK(B20),"",CONCATENATE("N",TEXT(B20,0),""))</f>
        <v>N1202</v>
      </c>
      <c r="J20" s="8" t="s">
        <v>341</v>
      </c>
      <c r="K20" s="20" t="s">
        <v>497</v>
      </c>
      <c r="M20" s="1" t="s">
        <v>496</v>
      </c>
      <c r="N20" s="1" t="s">
        <v>174</v>
      </c>
      <c r="O20" s="17" t="s">
        <v>580</v>
      </c>
    </row>
    <row r="21" spans="1:16" ht="14.25">
      <c r="A21" s="1">
        <f t="shared" si="5"/>
        <v>15</v>
      </c>
      <c r="B21" s="1">
        <v>1203</v>
      </c>
      <c r="C21" s="1" t="str">
        <f t="shared" si="4"/>
        <v>Q1203</v>
      </c>
      <c r="D21" s="8" t="s">
        <v>136</v>
      </c>
      <c r="E21" s="8" t="s">
        <v>136</v>
      </c>
      <c r="F21" s="8" t="s">
        <v>136</v>
      </c>
      <c r="G21" s="1">
        <v>1</v>
      </c>
      <c r="H21" s="1">
        <v>0</v>
      </c>
      <c r="I21" s="1" t="str">
        <f t="shared" si="6"/>
        <v>N1203</v>
      </c>
      <c r="J21" s="8" t="s">
        <v>342</v>
      </c>
      <c r="K21" s="20" t="s">
        <v>499</v>
      </c>
      <c r="M21" s="22" t="s">
        <v>498</v>
      </c>
      <c r="N21" s="23"/>
      <c r="O21" s="1" t="s">
        <v>500</v>
      </c>
    </row>
    <row r="22" spans="1:16" ht="14.25">
      <c r="A22" s="1">
        <f t="shared" si="5"/>
        <v>16</v>
      </c>
      <c r="B22" s="1">
        <v>1204</v>
      </c>
      <c r="C22" s="1" t="str">
        <f t="shared" si="4"/>
        <v>Q1204</v>
      </c>
      <c r="D22" s="8" t="s">
        <v>343</v>
      </c>
      <c r="E22" s="8" t="s">
        <v>343</v>
      </c>
      <c r="F22" s="8" t="s">
        <v>343</v>
      </c>
      <c r="G22" s="1">
        <v>1</v>
      </c>
      <c r="H22" s="1">
        <v>0</v>
      </c>
      <c r="I22" s="1" t="str">
        <f t="shared" si="6"/>
        <v>N1204</v>
      </c>
      <c r="J22" s="8" t="s">
        <v>344</v>
      </c>
      <c r="K22" s="8" t="s">
        <v>345</v>
      </c>
      <c r="O22" s="1" t="s">
        <v>581</v>
      </c>
    </row>
    <row r="23" spans="1:16" ht="14.25">
      <c r="A23" s="1">
        <f t="shared" si="5"/>
        <v>17</v>
      </c>
      <c r="B23" s="1">
        <v>1205</v>
      </c>
      <c r="C23" s="1" t="str">
        <f t="shared" si="4"/>
        <v>Q1205</v>
      </c>
      <c r="D23" s="8" t="s">
        <v>137</v>
      </c>
      <c r="E23" s="8" t="s">
        <v>137</v>
      </c>
      <c r="F23" s="8" t="s">
        <v>137</v>
      </c>
      <c r="G23" s="1">
        <v>1</v>
      </c>
      <c r="H23" s="1">
        <v>0</v>
      </c>
      <c r="I23" s="1" t="str">
        <f t="shared" si="6"/>
        <v>N1205</v>
      </c>
      <c r="J23" s="8" t="s">
        <v>346</v>
      </c>
      <c r="K23" s="8" t="s">
        <v>347</v>
      </c>
      <c r="M23" s="17" t="s">
        <v>501</v>
      </c>
      <c r="N23" s="1" t="s">
        <v>167</v>
      </c>
      <c r="O23" s="1" t="s">
        <v>582</v>
      </c>
      <c r="P23" s="17" t="s">
        <v>604</v>
      </c>
    </row>
    <row r="24" spans="1:16" ht="14.25">
      <c r="A24" s="1">
        <f t="shared" si="5"/>
        <v>18</v>
      </c>
      <c r="B24" s="1">
        <v>1206</v>
      </c>
      <c r="C24" s="1" t="str">
        <f t="shared" si="4"/>
        <v>Q1206</v>
      </c>
      <c r="D24" s="8" t="s">
        <v>348</v>
      </c>
      <c r="E24" s="8" t="s">
        <v>348</v>
      </c>
      <c r="F24" s="8" t="s">
        <v>348</v>
      </c>
      <c r="G24" s="1">
        <v>1</v>
      </c>
      <c r="H24" s="1">
        <v>0</v>
      </c>
      <c r="I24" s="1" t="str">
        <f t="shared" si="6"/>
        <v>N1206</v>
      </c>
      <c r="J24" s="8" t="s">
        <v>349</v>
      </c>
      <c r="K24" s="8" t="s">
        <v>350</v>
      </c>
      <c r="M24" s="17" t="s">
        <v>502</v>
      </c>
      <c r="N24" s="17" t="s">
        <v>567</v>
      </c>
      <c r="O24" s="17" t="s">
        <v>583</v>
      </c>
      <c r="P24" s="17" t="s">
        <v>605</v>
      </c>
    </row>
    <row r="25" spans="1:16" ht="14.25">
      <c r="A25" s="1">
        <f t="shared" si="5"/>
        <v>19</v>
      </c>
      <c r="B25" s="1">
        <v>1207</v>
      </c>
      <c r="C25" s="1" t="str">
        <f t="shared" si="4"/>
        <v>Q1207</v>
      </c>
      <c r="D25" s="8" t="s">
        <v>25</v>
      </c>
      <c r="E25" s="8" t="s">
        <v>25</v>
      </c>
      <c r="F25" s="8" t="s">
        <v>25</v>
      </c>
      <c r="G25" s="1">
        <v>1</v>
      </c>
      <c r="H25" s="1">
        <v>0</v>
      </c>
      <c r="I25" s="1" t="str">
        <f t="shared" si="6"/>
        <v>N1207</v>
      </c>
      <c r="J25" s="8" t="s">
        <v>351</v>
      </c>
      <c r="K25" s="8" t="s">
        <v>352</v>
      </c>
      <c r="M25" s="21" t="s">
        <v>503</v>
      </c>
      <c r="N25" s="8" t="s">
        <v>168</v>
      </c>
      <c r="O25" s="1" t="s">
        <v>585</v>
      </c>
    </row>
    <row r="26" spans="1:16">
      <c r="G26" s="1" t="str">
        <f>IF(ISBLANK(D26),"",IF(ISNUMBER(VALUE(RIGHT(D26,1))),"",IF(UPPER(RIGHT(D26,7))="UNKNOWN","",0.1)))</f>
        <v/>
      </c>
      <c r="H26" s="1" t="str">
        <f>IF(ISBLANK(E27),"",IF(ISNUMBER(VALUE(RIGHT(E27,1))),"",IF(UPPER(RIGHT(E27,7))="UNKNOWN","",0.1)))</f>
        <v/>
      </c>
      <c r="J26" s="8"/>
    </row>
    <row r="27" spans="1:16" ht="14.25">
      <c r="A27" s="1" t="s">
        <v>142</v>
      </c>
      <c r="G27" s="1" t="str">
        <f>IF(ISBLANK(D27),"",IF(ISNUMBER(VALUE(RIGHT(D27,1))),"",IF(UPPER(RIGHT(D27,7))="UNKNOWN","",0.1)))</f>
        <v/>
      </c>
      <c r="H27" s="1" t="str">
        <f>IF(ISBLANK(E28),"",IF(ISNUMBER(VALUE(RIGHT(E28,1))),"",IF(UPPER(RIGHT(E28,7))="UNKNOWN","",0.1)))</f>
        <v/>
      </c>
      <c r="J27" s="19" t="s">
        <v>353</v>
      </c>
      <c r="M27" s="3"/>
      <c r="N27" s="3"/>
    </row>
    <row r="28" spans="1:16" ht="14.25">
      <c r="A28" s="1">
        <f>+A25+1</f>
        <v>20</v>
      </c>
      <c r="B28" s="1">
        <v>1301</v>
      </c>
      <c r="C28" s="1" t="str">
        <f>CONCATENATE("Q",TEXT(B28,0),"")</f>
        <v>Q1301</v>
      </c>
      <c r="D28" s="8" t="s">
        <v>150</v>
      </c>
      <c r="E28" s="8" t="s">
        <v>354</v>
      </c>
      <c r="F28" s="8" t="s">
        <v>649</v>
      </c>
      <c r="G28" s="1">
        <v>0</v>
      </c>
      <c r="H28" s="1">
        <v>0</v>
      </c>
      <c r="J28" s="8" t="s">
        <v>355</v>
      </c>
      <c r="M28" s="3"/>
      <c r="N28" s="3"/>
    </row>
    <row r="29" spans="1:16" ht="14.25">
      <c r="A29" s="1">
        <f>+A28+1</f>
        <v>21</v>
      </c>
      <c r="B29" s="1">
        <v>1302</v>
      </c>
      <c r="C29" s="1" t="str">
        <f>CONCATENATE("Q",TEXT(B29,0),"")</f>
        <v>Q1302</v>
      </c>
      <c r="D29" s="8" t="s">
        <v>112</v>
      </c>
      <c r="E29" s="8" t="s">
        <v>112</v>
      </c>
      <c r="F29" s="8" t="s">
        <v>112</v>
      </c>
      <c r="G29" s="1">
        <v>1</v>
      </c>
      <c r="H29" s="1">
        <v>0</v>
      </c>
      <c r="I29" s="1" t="str">
        <f>IF(ISBLANK(B29),"",CONCATENATE("N",TEXT(B29,0),""))</f>
        <v>N1302</v>
      </c>
      <c r="J29" s="8" t="s">
        <v>356</v>
      </c>
      <c r="K29" s="8" t="s">
        <v>357</v>
      </c>
      <c r="M29" s="24" t="s">
        <v>504</v>
      </c>
      <c r="N29" s="24" t="s">
        <v>504</v>
      </c>
      <c r="O29" s="1" t="s">
        <v>586</v>
      </c>
    </row>
    <row r="30" spans="1:16" ht="14.25">
      <c r="A30" s="1">
        <f>+A29+1</f>
        <v>22</v>
      </c>
      <c r="B30" s="1">
        <v>1303</v>
      </c>
      <c r="C30" s="1" t="str">
        <f>CONCATENATE("Q",TEXT(B30,0),"")</f>
        <v>Q1303</v>
      </c>
      <c r="D30" s="8" t="s">
        <v>26</v>
      </c>
      <c r="E30" s="8" t="s">
        <v>26</v>
      </c>
      <c r="F30" s="8" t="s">
        <v>26</v>
      </c>
      <c r="G30" s="1">
        <v>1</v>
      </c>
      <c r="H30" s="1">
        <v>0</v>
      </c>
      <c r="I30" s="1" t="str">
        <f>IF(ISBLANK(B30),"",CONCATENATE("N",TEXT(B30,0),""))</f>
        <v>N1303</v>
      </c>
      <c r="J30" s="8" t="s">
        <v>358</v>
      </c>
      <c r="K30" s="8" t="s">
        <v>359</v>
      </c>
      <c r="M30" s="1" t="s">
        <v>360</v>
      </c>
      <c r="N30" s="1" t="s">
        <v>181</v>
      </c>
      <c r="O30" s="1" t="s">
        <v>587</v>
      </c>
    </row>
    <row r="31" spans="1:16" ht="14.25">
      <c r="A31" s="1">
        <f>+A30+1</f>
        <v>23</v>
      </c>
      <c r="B31" s="1">
        <v>1304</v>
      </c>
      <c r="C31" s="1" t="str">
        <f>CONCATENATE("Q",TEXT(B31,0),"")</f>
        <v>Q1304</v>
      </c>
      <c r="D31" s="8" t="s">
        <v>354</v>
      </c>
      <c r="E31" s="8" t="s">
        <v>354</v>
      </c>
      <c r="F31" s="8" t="s">
        <v>354</v>
      </c>
      <c r="G31" s="1">
        <v>1</v>
      </c>
      <c r="H31" s="1">
        <v>0</v>
      </c>
      <c r="I31" s="1" t="str">
        <f>IF(ISBLANK(B31),"",CONCATENATE("N",TEXT(B31,0),""))</f>
        <v>N1304</v>
      </c>
      <c r="J31" s="8" t="s">
        <v>361</v>
      </c>
      <c r="K31" s="8" t="s">
        <v>362</v>
      </c>
      <c r="M31" s="1" t="s">
        <v>171</v>
      </c>
      <c r="N31" s="1" t="s">
        <v>186</v>
      </c>
      <c r="O31" s="17" t="s">
        <v>588</v>
      </c>
      <c r="P31" s="17" t="s">
        <v>606</v>
      </c>
    </row>
    <row r="32" spans="1:16">
      <c r="G32" s="1" t="str">
        <f>IF(ISBLANK(D32),"",IF(ISNUMBER(VALUE(RIGHT(D32,1))),"",IF(UPPER(RIGHT(D32,7))="UNKNOWN","",0.1)))</f>
        <v/>
      </c>
      <c r="H32" s="1" t="str">
        <f>IF(ISBLANK(E33),"",IF(ISNUMBER(VALUE(RIGHT(E33,1))),"",IF(UPPER(RIGHT(E33,7))="UNKNOWN","",0.1)))</f>
        <v/>
      </c>
      <c r="J32" s="8"/>
    </row>
    <row r="33" spans="1:17" ht="14.25">
      <c r="A33" s="1" t="s">
        <v>143</v>
      </c>
      <c r="G33" s="1" t="str">
        <f>IF(ISBLANK(D33),"",IF(ISNUMBER(VALUE(RIGHT(D33,1))),"",IF(UPPER(RIGHT(D33,7))="UNKNOWN","",0.1)))</f>
        <v/>
      </c>
      <c r="H33" s="1" t="str">
        <f>IF(ISBLANK(E34),"",IF(ISNUMBER(VALUE(RIGHT(E34,1))),"",IF(UPPER(RIGHT(E34,7))="UNKNOWN","",0.1)))</f>
        <v/>
      </c>
      <c r="J33" s="19" t="s">
        <v>363</v>
      </c>
    </row>
    <row r="34" spans="1:17" ht="14.25">
      <c r="A34" s="7">
        <f>+A31+1</f>
        <v>24</v>
      </c>
      <c r="B34" s="7">
        <v>1401</v>
      </c>
      <c r="C34" s="1" t="str">
        <f>CONCATENATE("Q",TEXT(B34,0),"")</f>
        <v>Q1401</v>
      </c>
      <c r="D34" s="25" t="s">
        <v>34</v>
      </c>
      <c r="E34" s="25" t="s">
        <v>53</v>
      </c>
      <c r="F34" s="8" t="s">
        <v>648</v>
      </c>
      <c r="G34" s="1">
        <v>0</v>
      </c>
      <c r="H34" s="1">
        <v>0</v>
      </c>
      <c r="J34" s="8" t="s">
        <v>364</v>
      </c>
      <c r="K34" s="19"/>
    </row>
    <row r="35" spans="1:17" ht="14.25">
      <c r="A35" s="1">
        <f>+A34+1</f>
        <v>25</v>
      </c>
      <c r="B35" s="1">
        <v>1402</v>
      </c>
      <c r="C35" s="1" t="str">
        <f>CONCATENATE("Q",TEXT(B35,0),"")</f>
        <v>Q1402</v>
      </c>
      <c r="D35" s="8" t="s">
        <v>138</v>
      </c>
      <c r="E35" s="8" t="s">
        <v>138</v>
      </c>
      <c r="F35" s="8" t="s">
        <v>138</v>
      </c>
      <c r="G35" s="1">
        <v>1</v>
      </c>
      <c r="H35" s="1">
        <v>0</v>
      </c>
      <c r="I35" s="1" t="str">
        <f>IF(ISBLANK(B35),"",CONCATENATE("N",TEXT(B35,0),""))</f>
        <v>N1402</v>
      </c>
      <c r="J35" s="8" t="s">
        <v>365</v>
      </c>
      <c r="K35" s="8" t="s">
        <v>366</v>
      </c>
      <c r="M35" s="1" t="s">
        <v>172</v>
      </c>
      <c r="N35" s="1" t="s">
        <v>184</v>
      </c>
      <c r="O35" s="1" t="s">
        <v>589</v>
      </c>
    </row>
    <row r="36" spans="1:17" ht="14.25">
      <c r="A36" s="1">
        <f>+A35+1</f>
        <v>26</v>
      </c>
      <c r="B36" s="1">
        <v>1403</v>
      </c>
      <c r="C36" s="1" t="str">
        <f>CONCATENATE("Q",TEXT(B36,0),"")</f>
        <v>Q1403</v>
      </c>
      <c r="D36" s="8" t="s">
        <v>53</v>
      </c>
      <c r="E36" s="8" t="s">
        <v>53</v>
      </c>
      <c r="F36" s="8" t="s">
        <v>53</v>
      </c>
      <c r="G36" s="1">
        <v>1</v>
      </c>
      <c r="H36" s="1">
        <v>0</v>
      </c>
      <c r="I36" s="1" t="str">
        <f>IF(ISBLANK(B36),"",CONCATENATE("N",TEXT(B36,0),""))</f>
        <v>N1403</v>
      </c>
      <c r="J36" s="8" t="s">
        <v>367</v>
      </c>
      <c r="K36" s="8" t="s">
        <v>368</v>
      </c>
      <c r="N36" s="1" t="s">
        <v>369</v>
      </c>
      <c r="O36" s="17" t="s">
        <v>590</v>
      </c>
    </row>
    <row r="37" spans="1:17" ht="14.25">
      <c r="C37" s="1"/>
      <c r="J37" s="8"/>
      <c r="O37" s="17"/>
    </row>
    <row r="38" spans="1:17" ht="14.25">
      <c r="B38" s="11"/>
      <c r="C38" s="11"/>
      <c r="D38" s="11"/>
      <c r="E38" s="11"/>
      <c r="F38" s="11"/>
      <c r="G38" s="11" t="s">
        <v>370</v>
      </c>
      <c r="H38" s="11"/>
      <c r="I38" s="11"/>
      <c r="J38" s="11"/>
      <c r="K38" s="11"/>
      <c r="L38" s="11"/>
      <c r="O38" s="3"/>
    </row>
    <row r="39" spans="1:17" ht="14.25">
      <c r="A39" s="1">
        <f>+A36+1</f>
        <v>27</v>
      </c>
      <c r="B39" s="11">
        <v>1000</v>
      </c>
      <c r="C39" s="9" t="s">
        <v>148</v>
      </c>
      <c r="D39" s="11" t="s">
        <v>28</v>
      </c>
      <c r="E39" s="11" t="s">
        <v>22</v>
      </c>
      <c r="F39" s="11"/>
      <c r="G39" s="11">
        <v>1</v>
      </c>
      <c r="H39" s="11">
        <v>0</v>
      </c>
      <c r="I39" s="11"/>
      <c r="J39" s="26" t="s">
        <v>635</v>
      </c>
      <c r="K39" s="11"/>
      <c r="L39" s="11"/>
      <c r="O39" s="3" t="s">
        <v>634</v>
      </c>
    </row>
    <row r="40" spans="1:17" ht="14.25">
      <c r="B40" s="11"/>
      <c r="C40" s="11"/>
      <c r="D40" s="11"/>
      <c r="E40" s="11"/>
      <c r="F40" s="11"/>
      <c r="G40" s="27" t="s">
        <v>63</v>
      </c>
      <c r="H40" s="27" t="s">
        <v>63</v>
      </c>
      <c r="I40" s="11"/>
      <c r="J40" s="11"/>
      <c r="K40" s="11"/>
      <c r="L40" s="9"/>
      <c r="O40" s="3"/>
    </row>
    <row r="41" spans="1:17" s="3" customFormat="1">
      <c r="G41" s="28"/>
      <c r="H41" s="29"/>
      <c r="L41" s="23"/>
      <c r="M41" s="1"/>
      <c r="N41" s="1"/>
    </row>
    <row r="42" spans="1:17" ht="14.25">
      <c r="A42" s="2" t="s">
        <v>139</v>
      </c>
      <c r="G42" s="1" t="str">
        <f>IF(ISBLANK(D42),"",IF(ISNUMBER(VALUE(RIGHT(D42,1))),"",IF(UPPER(RIGHT(D42,7))="UNKNOWN","",0.1)))</f>
        <v/>
      </c>
      <c r="H42" s="1" t="str">
        <f>IF(ISBLANK(E45),"",IF(ISNUMBER(VALUE(RIGHT(E45,1))),"",IF(UPPER(RIGHT(E45,7))="UNKNOWN","",0.1)))</f>
        <v/>
      </c>
      <c r="J42" s="18" t="s">
        <v>371</v>
      </c>
    </row>
    <row r="43" spans="1:17" ht="14.25">
      <c r="A43" s="2">
        <f>+A39+1</f>
        <v>28</v>
      </c>
      <c r="B43" s="1">
        <v>2</v>
      </c>
      <c r="C43" s="14" t="s">
        <v>1174</v>
      </c>
      <c r="D43" s="8" t="s">
        <v>147</v>
      </c>
      <c r="E43" s="8" t="s">
        <v>642</v>
      </c>
      <c r="F43" s="8" t="s">
        <v>653</v>
      </c>
      <c r="G43" s="1">
        <v>0</v>
      </c>
      <c r="H43" s="1">
        <v>0</v>
      </c>
      <c r="J43" s="15" t="s">
        <v>1176</v>
      </c>
      <c r="K43" s="16" t="s">
        <v>643</v>
      </c>
      <c r="L43" s="17" t="s">
        <v>644</v>
      </c>
      <c r="Q43" s="15" t="s">
        <v>637</v>
      </c>
    </row>
    <row r="44" spans="1:17">
      <c r="A44" s="2"/>
      <c r="J44" s="18"/>
    </row>
    <row r="45" spans="1:17" ht="14.25">
      <c r="A45" s="1" t="s">
        <v>372</v>
      </c>
      <c r="G45" s="1" t="str">
        <f>IF(ISBLANK(D45),"",IF(ISNUMBER(VALUE(RIGHT(D45,1))),"",IF(UPPER(RIGHT(D45,7))="UNKNOWN","",0.1)))</f>
        <v/>
      </c>
      <c r="H45" s="1" t="str">
        <f>IF(ISBLANK(E46),"",IF(ISNUMBER(VALUE(RIGHT(E46,1))),"",IF(UPPER(RIGHT(E46,7))="UNKNOWN","",0.1)))</f>
        <v/>
      </c>
      <c r="J45" s="19" t="s">
        <v>373</v>
      </c>
    </row>
    <row r="46" spans="1:17" ht="14.25">
      <c r="A46" s="1">
        <f>+A43+1</f>
        <v>29</v>
      </c>
      <c r="B46" s="1">
        <v>2101</v>
      </c>
      <c r="C46" s="1" t="str">
        <f>CONCATENATE("Q",TEXT(B46,0),"")</f>
        <v>Q2101</v>
      </c>
      <c r="D46" s="8" t="s">
        <v>35</v>
      </c>
      <c r="E46" s="8" t="s">
        <v>36</v>
      </c>
      <c r="F46" s="8" t="s">
        <v>568</v>
      </c>
      <c r="G46" s="1">
        <v>0</v>
      </c>
      <c r="H46" s="1">
        <v>0</v>
      </c>
      <c r="J46" s="8" t="s">
        <v>374</v>
      </c>
    </row>
    <row r="47" spans="1:17" ht="14.25">
      <c r="A47" s="1">
        <f>+A46+1</f>
        <v>30</v>
      </c>
      <c r="B47" s="1">
        <v>2102</v>
      </c>
      <c r="C47" s="1" t="str">
        <f>CONCATENATE("Q",TEXT(B47,0),"")</f>
        <v>Q2102</v>
      </c>
      <c r="D47" s="8" t="s">
        <v>73</v>
      </c>
      <c r="E47" s="8" t="s">
        <v>73</v>
      </c>
      <c r="F47" s="8" t="s">
        <v>73</v>
      </c>
      <c r="G47" s="1">
        <v>1</v>
      </c>
      <c r="H47" s="1">
        <v>0</v>
      </c>
      <c r="I47" s="1" t="str">
        <f>IF(ISBLANK(B47),"",CONCATENATE("N",TEXT(B47,0),""))</f>
        <v>N2102</v>
      </c>
      <c r="J47" s="8" t="s">
        <v>375</v>
      </c>
      <c r="K47" s="8" t="s">
        <v>376</v>
      </c>
    </row>
    <row r="48" spans="1:17" ht="14.25">
      <c r="A48" s="1">
        <f>+A47+1</f>
        <v>31</v>
      </c>
      <c r="B48" s="1">
        <v>2103</v>
      </c>
      <c r="C48" s="1" t="str">
        <f>CONCATENATE("Q",TEXT(B48,0),"")</f>
        <v>Q2103</v>
      </c>
      <c r="D48" s="8" t="s">
        <v>74</v>
      </c>
      <c r="E48" s="8" t="s">
        <v>74</v>
      </c>
      <c r="F48" s="8" t="s">
        <v>74</v>
      </c>
      <c r="G48" s="1">
        <v>1</v>
      </c>
      <c r="H48" s="1">
        <v>0</v>
      </c>
      <c r="I48" s="1" t="str">
        <f>IF(ISBLANK(B48),"",CONCATENATE("N",TEXT(B48,0),""))</f>
        <v>N2103</v>
      </c>
      <c r="J48" s="20" t="s">
        <v>571</v>
      </c>
      <c r="K48" s="8" t="s">
        <v>377</v>
      </c>
    </row>
    <row r="49" spans="1:15" ht="14.25">
      <c r="A49" s="1">
        <f>+A48+1</f>
        <v>32</v>
      </c>
      <c r="B49" s="1">
        <v>2104</v>
      </c>
      <c r="C49" s="1" t="str">
        <f>CONCATENATE("Q",TEXT(B49,0),"")</f>
        <v>Q2104</v>
      </c>
      <c r="D49" s="8" t="s">
        <v>36</v>
      </c>
      <c r="E49" s="8" t="s">
        <v>36</v>
      </c>
      <c r="F49" s="8" t="s">
        <v>36</v>
      </c>
      <c r="G49" s="1">
        <v>1</v>
      </c>
      <c r="H49" s="1">
        <v>0</v>
      </c>
      <c r="I49" s="1" t="str">
        <f>IF(ISBLANK(B49),"",CONCATENATE("N",TEXT(B49,0),""))</f>
        <v>N2104</v>
      </c>
      <c r="J49" s="8" t="s">
        <v>378</v>
      </c>
      <c r="K49" s="8" t="s">
        <v>379</v>
      </c>
    </row>
    <row r="50" spans="1:15">
      <c r="G50" s="1" t="str">
        <f>IF(ISBLANK(D50),"",IF(ISNUMBER(VALUE(RIGHT(D50,1))),"",IF(UPPER(RIGHT(D50,7))="UNKNOWN","",0.1)))</f>
        <v/>
      </c>
      <c r="H50" s="1" t="str">
        <f>IF(ISBLANK(E51),"",IF(ISNUMBER(VALUE(RIGHT(E51,1))),"",IF(UPPER(RIGHT(E51,7))="UNKNOWN","",0.1)))</f>
        <v/>
      </c>
      <c r="J50" s="8"/>
    </row>
    <row r="51" spans="1:15" ht="14.25">
      <c r="A51" s="1" t="s">
        <v>380</v>
      </c>
      <c r="G51" s="1" t="str">
        <f>IF(ISBLANK(D51),"",IF(ISNUMBER(VALUE(RIGHT(D51,1))),"",IF(UPPER(RIGHT(D51,7))="UNKNOWN","",0.1)))</f>
        <v/>
      </c>
      <c r="H51" s="1" t="str">
        <f>IF(ISBLANK(E52),"",IF(ISNUMBER(VALUE(RIGHT(E52,1))),"",IF(UPPER(RIGHT(E52,7))="UNKNOWN","",0.1)))</f>
        <v/>
      </c>
      <c r="J51" s="19" t="s">
        <v>381</v>
      </c>
    </row>
    <row r="52" spans="1:15" ht="14.25">
      <c r="A52" s="1">
        <f>+A49+1</f>
        <v>33</v>
      </c>
      <c r="B52" s="1">
        <v>2201</v>
      </c>
      <c r="C52" s="1" t="str">
        <f t="shared" ref="C52:C61" si="7">CONCATENATE("Q",TEXT(B52,0),"")</f>
        <v>Q2201</v>
      </c>
      <c r="D52" s="8" t="s">
        <v>37</v>
      </c>
      <c r="E52" s="8" t="s">
        <v>38</v>
      </c>
      <c r="F52" s="8" t="s">
        <v>569</v>
      </c>
      <c r="G52" s="1">
        <v>0</v>
      </c>
      <c r="H52" s="1">
        <v>0</v>
      </c>
      <c r="J52" s="8" t="s">
        <v>382</v>
      </c>
      <c r="K52" s="21" t="s">
        <v>570</v>
      </c>
    </row>
    <row r="53" spans="1:15" ht="14.25">
      <c r="A53" s="1">
        <f t="shared" ref="A53:A61" si="8">+A52+1</f>
        <v>34</v>
      </c>
      <c r="B53" s="1">
        <v>2202</v>
      </c>
      <c r="C53" s="1" t="str">
        <f t="shared" si="7"/>
        <v>Q2202</v>
      </c>
      <c r="D53" s="8" t="s">
        <v>75</v>
      </c>
      <c r="E53" s="8" t="s">
        <v>75</v>
      </c>
      <c r="F53" s="8" t="s">
        <v>75</v>
      </c>
      <c r="G53" s="1">
        <v>1</v>
      </c>
      <c r="H53" s="1">
        <v>0</v>
      </c>
      <c r="I53" s="1" t="str">
        <f t="shared" ref="I53:I60" si="9">IF(ISBLANK(B53),"",CONCATENATE("N",TEXT(B53,0),""))</f>
        <v>N2202</v>
      </c>
      <c r="J53" s="8" t="s">
        <v>383</v>
      </c>
      <c r="K53" s="8" t="s">
        <v>384</v>
      </c>
      <c r="M53" s="1" t="s">
        <v>385</v>
      </c>
      <c r="N53" s="1" t="s">
        <v>386</v>
      </c>
      <c r="O53" s="17" t="s">
        <v>591</v>
      </c>
    </row>
    <row r="54" spans="1:15" ht="14.25">
      <c r="A54" s="1">
        <f t="shared" si="8"/>
        <v>35</v>
      </c>
      <c r="B54" s="1">
        <v>2203</v>
      </c>
      <c r="C54" s="1" t="str">
        <f t="shared" si="7"/>
        <v>Q2203</v>
      </c>
      <c r="D54" s="8" t="s">
        <v>144</v>
      </c>
      <c r="E54" s="8" t="s">
        <v>144</v>
      </c>
      <c r="F54" s="8" t="s">
        <v>144</v>
      </c>
      <c r="G54" s="1">
        <v>1</v>
      </c>
      <c r="H54" s="1">
        <v>0</v>
      </c>
      <c r="I54" s="1" t="str">
        <f t="shared" si="9"/>
        <v>N2203</v>
      </c>
      <c r="J54" s="8" t="s">
        <v>387</v>
      </c>
      <c r="K54" s="8" t="s">
        <v>388</v>
      </c>
      <c r="M54" s="1" t="s">
        <v>178</v>
      </c>
      <c r="N54" s="1" t="s">
        <v>177</v>
      </c>
      <c r="O54" s="17" t="s">
        <v>591</v>
      </c>
    </row>
    <row r="55" spans="1:15" ht="14.25">
      <c r="A55" s="1">
        <f t="shared" si="8"/>
        <v>36</v>
      </c>
      <c r="B55" s="1">
        <v>2204</v>
      </c>
      <c r="C55" s="1" t="str">
        <f t="shared" si="7"/>
        <v>Q2204</v>
      </c>
      <c r="D55" s="8" t="s">
        <v>39</v>
      </c>
      <c r="E55" s="8" t="s">
        <v>39</v>
      </c>
      <c r="F55" s="8" t="s">
        <v>39</v>
      </c>
      <c r="G55" s="1">
        <v>1</v>
      </c>
      <c r="H55" s="1">
        <v>0</v>
      </c>
      <c r="I55" s="1" t="str">
        <f t="shared" si="9"/>
        <v>N2204</v>
      </c>
      <c r="J55" s="8" t="s">
        <v>389</v>
      </c>
      <c r="K55" s="8" t="s">
        <v>390</v>
      </c>
      <c r="N55" s="1" t="s">
        <v>176</v>
      </c>
      <c r="O55" s="17" t="s">
        <v>592</v>
      </c>
    </row>
    <row r="56" spans="1:15" ht="14.25">
      <c r="A56" s="1">
        <f t="shared" si="8"/>
        <v>37</v>
      </c>
      <c r="B56" s="1">
        <v>2205</v>
      </c>
      <c r="C56" s="1" t="str">
        <f t="shared" si="7"/>
        <v>Q2205</v>
      </c>
      <c r="D56" s="8" t="s">
        <v>145</v>
      </c>
      <c r="E56" s="8" t="s">
        <v>145</v>
      </c>
      <c r="F56" s="8" t="s">
        <v>145</v>
      </c>
      <c r="G56" s="1">
        <v>1</v>
      </c>
      <c r="H56" s="1">
        <v>0</v>
      </c>
      <c r="I56" s="1" t="str">
        <f t="shared" si="9"/>
        <v>N2205</v>
      </c>
      <c r="J56" s="8" t="s">
        <v>391</v>
      </c>
      <c r="K56" s="8" t="s">
        <v>392</v>
      </c>
      <c r="M56" s="17" t="s">
        <v>505</v>
      </c>
      <c r="N56" s="1" t="s">
        <v>506</v>
      </c>
      <c r="O56" s="1" t="s">
        <v>593</v>
      </c>
    </row>
    <row r="57" spans="1:15" ht="14.25">
      <c r="A57" s="1">
        <f t="shared" si="8"/>
        <v>38</v>
      </c>
      <c r="B57" s="1">
        <v>2206</v>
      </c>
      <c r="C57" s="1" t="str">
        <f t="shared" si="7"/>
        <v>Q2206</v>
      </c>
      <c r="D57" s="8" t="s">
        <v>40</v>
      </c>
      <c r="E57" s="8" t="s">
        <v>40</v>
      </c>
      <c r="F57" s="8" t="s">
        <v>40</v>
      </c>
      <c r="G57" s="1">
        <v>1</v>
      </c>
      <c r="H57" s="1">
        <v>0</v>
      </c>
      <c r="I57" s="1" t="str">
        <f t="shared" si="9"/>
        <v>N2206</v>
      </c>
      <c r="J57" s="1" t="s">
        <v>393</v>
      </c>
      <c r="K57" s="8" t="s">
        <v>394</v>
      </c>
      <c r="M57" s="1" t="s">
        <v>175</v>
      </c>
      <c r="N57" s="1" t="s">
        <v>395</v>
      </c>
      <c r="O57" s="17" t="s">
        <v>507</v>
      </c>
    </row>
    <row r="58" spans="1:15" ht="14.25">
      <c r="A58" s="1">
        <f t="shared" si="8"/>
        <v>39</v>
      </c>
      <c r="B58" s="1">
        <v>2207</v>
      </c>
      <c r="C58" s="1" t="str">
        <f t="shared" si="7"/>
        <v>Q2207</v>
      </c>
      <c r="D58" s="8" t="s">
        <v>179</v>
      </c>
      <c r="E58" s="8" t="s">
        <v>179</v>
      </c>
      <c r="F58" s="8" t="s">
        <v>179</v>
      </c>
      <c r="G58" s="1">
        <v>1</v>
      </c>
      <c r="H58" s="1">
        <v>0</v>
      </c>
      <c r="I58" s="1" t="str">
        <f t="shared" si="9"/>
        <v>N2207</v>
      </c>
      <c r="J58" s="8" t="s">
        <v>396</v>
      </c>
      <c r="K58" s="8" t="s">
        <v>397</v>
      </c>
      <c r="M58" s="1" t="s">
        <v>398</v>
      </c>
      <c r="N58" s="1" t="s">
        <v>399</v>
      </c>
      <c r="O58" s="17" t="s">
        <v>594</v>
      </c>
    </row>
    <row r="59" spans="1:15" ht="14.25">
      <c r="A59" s="1">
        <f t="shared" si="8"/>
        <v>40</v>
      </c>
      <c r="B59" s="1">
        <v>2208</v>
      </c>
      <c r="C59" s="1" t="str">
        <f t="shared" si="7"/>
        <v>Q2208</v>
      </c>
      <c r="D59" s="1" t="s">
        <v>453</v>
      </c>
      <c r="E59" s="1" t="s">
        <v>453</v>
      </c>
      <c r="F59" s="1" t="s">
        <v>453</v>
      </c>
      <c r="G59" s="1">
        <v>1</v>
      </c>
      <c r="H59" s="1">
        <v>0</v>
      </c>
      <c r="I59" s="1" t="str">
        <f t="shared" si="9"/>
        <v>N2208</v>
      </c>
      <c r="J59" s="8" t="s">
        <v>400</v>
      </c>
      <c r="K59" s="8" t="s">
        <v>401</v>
      </c>
      <c r="M59" s="17" t="s">
        <v>508</v>
      </c>
      <c r="N59" s="17" t="s">
        <v>508</v>
      </c>
      <c r="O59" s="17" t="s">
        <v>595</v>
      </c>
    </row>
    <row r="60" spans="1:15" ht="14.25">
      <c r="A60" s="1">
        <f t="shared" si="8"/>
        <v>41</v>
      </c>
      <c r="B60" s="1">
        <v>2209</v>
      </c>
      <c r="C60" s="1" t="str">
        <f t="shared" si="7"/>
        <v>Q2209</v>
      </c>
      <c r="D60" s="8" t="s">
        <v>182</v>
      </c>
      <c r="E60" s="8" t="s">
        <v>182</v>
      </c>
      <c r="F60" s="8" t="s">
        <v>182</v>
      </c>
      <c r="G60" s="1">
        <v>1</v>
      </c>
      <c r="H60" s="1">
        <v>0</v>
      </c>
      <c r="I60" s="1" t="str">
        <f t="shared" si="9"/>
        <v>N2209</v>
      </c>
      <c r="J60" s="21" t="s">
        <v>450</v>
      </c>
      <c r="K60" s="21" t="s">
        <v>451</v>
      </c>
      <c r="M60" s="17" t="s">
        <v>452</v>
      </c>
      <c r="N60" s="1" t="s">
        <v>509</v>
      </c>
      <c r="O60" s="17" t="s">
        <v>596</v>
      </c>
    </row>
    <row r="61" spans="1:15" ht="14.25">
      <c r="A61" s="1">
        <f t="shared" si="8"/>
        <v>42</v>
      </c>
      <c r="B61" s="1">
        <v>2251</v>
      </c>
      <c r="C61" s="1" t="str">
        <f t="shared" si="7"/>
        <v>Q2251</v>
      </c>
      <c r="D61" s="8" t="s">
        <v>38</v>
      </c>
      <c r="E61" s="8" t="s">
        <v>38</v>
      </c>
      <c r="F61" s="8" t="s">
        <v>38</v>
      </c>
      <c r="G61" s="1">
        <v>0</v>
      </c>
      <c r="H61" s="1">
        <v>0</v>
      </c>
      <c r="I61" s="1" t="str">
        <f>IF(ISBLANK(B61),"",CONCATENATE("N",TEXT(B61,0),""))</f>
        <v>N2251</v>
      </c>
      <c r="J61" s="8" t="s">
        <v>402</v>
      </c>
      <c r="K61" s="8" t="s">
        <v>403</v>
      </c>
      <c r="M61" s="1" t="s">
        <v>180</v>
      </c>
      <c r="N61" s="1" t="s">
        <v>404</v>
      </c>
      <c r="O61" s="16" t="s">
        <v>597</v>
      </c>
    </row>
    <row r="62" spans="1:15">
      <c r="G62" s="1" t="str">
        <f>IF(ISBLANK(D62),"",IF(ISNUMBER(VALUE(RIGHT(D62,1))),"",IF(UPPER(RIGHT(D62,7))="UNKNOWN","",0.1)))</f>
        <v/>
      </c>
      <c r="H62" s="1" t="str">
        <f>IF(ISBLANK(E63),"",IF(ISNUMBER(VALUE(RIGHT(E63,1))),"",IF(UPPER(RIGHT(E63,7))="UNKNOWN","",0.1)))</f>
        <v/>
      </c>
      <c r="J62" s="8"/>
    </row>
    <row r="63" spans="1:15" ht="14.25">
      <c r="A63" s="1" t="s">
        <v>405</v>
      </c>
      <c r="G63" s="1" t="str">
        <f>IF(ISBLANK(D63),"",IF(ISNUMBER(VALUE(RIGHT(D63,1))),"",IF(UPPER(RIGHT(D63,7))="UNKNOWN","",0.1)))</f>
        <v/>
      </c>
      <c r="H63" s="1" t="str">
        <f>IF(ISBLANK(E64),"",IF(ISNUMBER(VALUE(RIGHT(E64,1))),"",IF(UPPER(RIGHT(E64,7))="UNKNOWN","",0.1)))</f>
        <v/>
      </c>
      <c r="J63" s="19" t="s">
        <v>406</v>
      </c>
    </row>
    <row r="64" spans="1:15" ht="14.25">
      <c r="A64" s="7">
        <f>+A61+1</f>
        <v>43</v>
      </c>
      <c r="B64" s="7">
        <v>2301</v>
      </c>
      <c r="C64" s="1" t="str">
        <f>CONCATENATE("Q",TEXT(B64,0),"")</f>
        <v>Q2301</v>
      </c>
      <c r="D64" s="25" t="s">
        <v>41</v>
      </c>
      <c r="E64" s="25" t="s">
        <v>147</v>
      </c>
      <c r="F64" s="8" t="s">
        <v>647</v>
      </c>
      <c r="G64" s="1">
        <v>0</v>
      </c>
      <c r="H64" s="1">
        <v>0</v>
      </c>
      <c r="J64" s="8" t="s">
        <v>407</v>
      </c>
      <c r="K64" s="19"/>
    </row>
    <row r="65" spans="1:16" ht="14.25">
      <c r="A65" s="1">
        <f>+A64+1</f>
        <v>44</v>
      </c>
      <c r="B65" s="1">
        <v>2302</v>
      </c>
      <c r="C65" s="1" t="str">
        <f>CONCATENATE("Q",TEXT(B65,0),"")</f>
        <v>Q2302</v>
      </c>
      <c r="D65" s="8" t="s">
        <v>146</v>
      </c>
      <c r="E65" s="8" t="s">
        <v>146</v>
      </c>
      <c r="F65" s="8" t="s">
        <v>146</v>
      </c>
      <c r="G65" s="1">
        <v>1</v>
      </c>
      <c r="H65" s="1">
        <v>0</v>
      </c>
      <c r="I65" s="1" t="str">
        <f>IF(ISBLANK(B65),"",CONCATENATE("N",TEXT(B65,0),""))</f>
        <v>N2302</v>
      </c>
      <c r="J65" s="8" t="s">
        <v>408</v>
      </c>
      <c r="K65" s="8" t="s">
        <v>409</v>
      </c>
      <c r="M65" s="17" t="s">
        <v>511</v>
      </c>
      <c r="N65" s="17" t="s">
        <v>510</v>
      </c>
      <c r="O65" s="17" t="s">
        <v>598</v>
      </c>
    </row>
    <row r="66" spans="1:16" ht="14.25">
      <c r="A66" s="1">
        <f>+A65+1</f>
        <v>45</v>
      </c>
      <c r="B66" s="1">
        <v>2303</v>
      </c>
      <c r="C66" s="1" t="str">
        <f>CONCATENATE("Q",TEXT(B66,0),"")</f>
        <v>Q2303</v>
      </c>
      <c r="D66" s="8" t="s">
        <v>147</v>
      </c>
      <c r="E66" s="8" t="s">
        <v>147</v>
      </c>
      <c r="F66" s="8" t="s">
        <v>147</v>
      </c>
      <c r="G66" s="1">
        <v>1</v>
      </c>
      <c r="H66" s="1">
        <v>0</v>
      </c>
      <c r="I66" s="1" t="str">
        <f>IF(ISBLANK(B66),"",CONCATENATE("N",TEXT(B66,0),""))</f>
        <v>N2303</v>
      </c>
      <c r="J66" s="8" t="s">
        <v>410</v>
      </c>
      <c r="K66" s="8" t="s">
        <v>411</v>
      </c>
      <c r="M66" s="17" t="s">
        <v>512</v>
      </c>
      <c r="O66" s="17" t="s">
        <v>599</v>
      </c>
    </row>
    <row r="67" spans="1:16" ht="14.25">
      <c r="C67" s="1"/>
      <c r="J67" s="8"/>
      <c r="M67" s="17"/>
      <c r="O67" s="17"/>
    </row>
    <row r="68" spans="1:16" ht="14.25">
      <c r="B68" s="11"/>
      <c r="C68" s="11"/>
      <c r="D68" s="11"/>
      <c r="E68" s="11"/>
      <c r="F68" s="11"/>
      <c r="G68" s="11" t="s">
        <v>370</v>
      </c>
      <c r="H68" s="11"/>
      <c r="I68" s="11"/>
      <c r="J68" s="11"/>
      <c r="K68" s="11"/>
      <c r="L68" s="11"/>
      <c r="O68" s="3"/>
      <c r="P68" s="3"/>
    </row>
    <row r="69" spans="1:16" ht="14.25">
      <c r="A69" s="1">
        <f>+A66+1</f>
        <v>46</v>
      </c>
      <c r="B69" s="11">
        <v>2000</v>
      </c>
      <c r="C69" s="9" t="s">
        <v>149</v>
      </c>
      <c r="D69" s="11" t="s">
        <v>85</v>
      </c>
      <c r="E69" s="11" t="s">
        <v>22</v>
      </c>
      <c r="F69" s="11"/>
      <c r="G69" s="11">
        <v>1</v>
      </c>
      <c r="H69" s="11">
        <v>0</v>
      </c>
      <c r="I69" s="11"/>
      <c r="J69" s="26" t="s">
        <v>636</v>
      </c>
      <c r="K69" s="11"/>
      <c r="L69" s="11"/>
      <c r="O69" s="1" t="s">
        <v>634</v>
      </c>
    </row>
    <row r="70" spans="1:16" ht="14.25">
      <c r="B70" s="11"/>
      <c r="C70" s="11"/>
      <c r="D70" s="11"/>
      <c r="E70" s="11"/>
      <c r="F70" s="11"/>
      <c r="G70" s="27" t="s">
        <v>63</v>
      </c>
      <c r="H70" s="27" t="s">
        <v>63</v>
      </c>
      <c r="I70" s="11"/>
      <c r="J70" s="11"/>
      <c r="K70" s="11"/>
      <c r="L70" s="9"/>
      <c r="O70" s="3"/>
      <c r="P70" s="3"/>
    </row>
    <row r="71" spans="1:16">
      <c r="G71" s="1" t="str">
        <f>IF(ISBLANK(D71),"",IF(ISNUMBER(VALUE(RIGHT(D71,1))),"",IF(UPPER(RIGHT(D71,7))="UNKNOWN","",0.1)))</f>
        <v/>
      </c>
      <c r="J71" s="8"/>
    </row>
    <row r="72" spans="1:16">
      <c r="A72" s="1">
        <f>+A69+1</f>
        <v>47</v>
      </c>
      <c r="B72" s="1">
        <v>0</v>
      </c>
      <c r="F72" s="27" t="s">
        <v>27</v>
      </c>
      <c r="J72" s="8" t="s">
        <v>412</v>
      </c>
    </row>
    <row r="76" spans="1:16" ht="14.25">
      <c r="C76" s="12" t="s">
        <v>413</v>
      </c>
    </row>
    <row r="98" spans="16:16">
      <c r="P98" s="8"/>
    </row>
    <row r="99" spans="16:16">
      <c r="P99" s="8"/>
    </row>
    <row r="100" spans="16:16">
      <c r="P100" s="8"/>
    </row>
    <row r="101" spans="16:16">
      <c r="P101" s="8"/>
    </row>
    <row r="102" spans="16:16">
      <c r="P102" s="8"/>
    </row>
    <row r="103" spans="16:16">
      <c r="P103" s="8"/>
    </row>
    <row r="104" spans="16:16">
      <c r="P104" s="8"/>
    </row>
    <row r="105" spans="16:16">
      <c r="P105" s="8"/>
    </row>
    <row r="106" spans="16:16">
      <c r="P106" s="8"/>
    </row>
    <row r="107" spans="16:16">
      <c r="P107" s="8"/>
    </row>
    <row r="108" spans="16:16">
      <c r="P108" s="8"/>
    </row>
    <row r="109" spans="16:16">
      <c r="P109" s="8"/>
    </row>
    <row r="110" spans="16:16">
      <c r="P110" s="8"/>
    </row>
  </sheetData>
  <phoneticPr fontId="1"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30"/>
  <sheetViews>
    <sheetView tabSelected="1" workbookViewId="0">
      <pane xSplit="2" ySplit="1" topLeftCell="C2" activePane="bottomRight" state="frozen"/>
      <selection pane="topRight" activeCell="C1" sqref="C1"/>
      <selection pane="bottomLeft" activeCell="A2" sqref="A2"/>
      <selection pane="bottomRight" activeCell="J34" sqref="J34"/>
    </sheetView>
  </sheetViews>
  <sheetFormatPr defaultRowHeight="16.5"/>
  <cols>
    <col min="1" max="1" width="7.125" customWidth="1"/>
    <col min="2" max="2" width="5.625" customWidth="1"/>
    <col min="3" max="3" width="20.625" customWidth="1"/>
    <col min="4" max="4" width="5.625" customWidth="1"/>
    <col min="5" max="5" width="6.625" customWidth="1"/>
    <col min="6" max="9" width="7.625" customWidth="1"/>
    <col min="10" max="10" width="27.625" customWidth="1"/>
    <col min="11" max="16" width="20.625" customWidth="1"/>
    <col min="17" max="17" width="17.625" customWidth="1"/>
  </cols>
  <sheetData>
    <row r="1" spans="1:17" s="1" customFormat="1" ht="14.25">
      <c r="A1" s="1" t="s">
        <v>12</v>
      </c>
      <c r="B1" s="1" t="s">
        <v>13</v>
      </c>
      <c r="C1" s="8" t="s">
        <v>2</v>
      </c>
      <c r="D1" s="8" t="s">
        <v>14</v>
      </c>
      <c r="E1" s="8" t="s">
        <v>30</v>
      </c>
      <c r="F1" s="9" t="s">
        <v>42</v>
      </c>
      <c r="G1" s="1" t="s">
        <v>16</v>
      </c>
      <c r="H1" s="1" t="s">
        <v>17</v>
      </c>
      <c r="I1" s="8" t="s">
        <v>18</v>
      </c>
      <c r="J1" s="10" t="s">
        <v>65</v>
      </c>
      <c r="K1" s="1" t="s">
        <v>66</v>
      </c>
      <c r="L1" s="1" t="s">
        <v>67</v>
      </c>
      <c r="M1" s="31" t="s">
        <v>154</v>
      </c>
      <c r="N1" s="48" t="s">
        <v>153</v>
      </c>
      <c r="O1" s="17" t="s">
        <v>71</v>
      </c>
      <c r="P1" s="17" t="s">
        <v>191</v>
      </c>
      <c r="Q1" s="1" t="s">
        <v>608</v>
      </c>
    </row>
    <row r="2" spans="1:17" s="1" customFormat="1" ht="14.25">
      <c r="A2" s="2" t="s">
        <v>455</v>
      </c>
      <c r="C2" s="8"/>
      <c r="D2" s="8"/>
      <c r="E2" s="8"/>
      <c r="F2" s="8"/>
      <c r="G2" s="1" t="str">
        <f>IF(ISBLANK(D2),"",IF(ISNUMBER(VALUE(RIGHT(D2,1))),"",IF(UPPER(RIGHT(D2,7))="UNKNOWN","",0.1)))</f>
        <v/>
      </c>
      <c r="H2" s="1" t="str">
        <f>IF(ISBLANK(E2),"",IF(ISNUMBER(VALUE(RIGHT(E2,1))),"",IF(UPPER(RIGHT(E2,7))="UNKNOWN","",0.1)))</f>
        <v/>
      </c>
      <c r="J2" s="52" t="s">
        <v>236</v>
      </c>
      <c r="K2" s="1" t="str">
        <f>IF(UPPER(RIGHT(D2,7))="UNKNOWN","暫無解答",IF(ISBLANK(D2),"",IF(ISNUMBER(VALUE(RIGHT(D2,1))),"",D2)))</f>
        <v/>
      </c>
      <c r="L2" s="1" t="str">
        <f>IF(UPPER(RIGHT(E2,7))="UNKNOWN","暫無解答",IF(ISBLANK(E2),"",IF(ISNUMBER(VALUE(RIGHT(E2,1))),"",E2)))</f>
        <v/>
      </c>
    </row>
    <row r="3" spans="1:17" s="1" customFormat="1" ht="14.25">
      <c r="A3" s="1">
        <v>1</v>
      </c>
      <c r="B3" s="1">
        <v>1</v>
      </c>
      <c r="C3" s="8" t="s">
        <v>454</v>
      </c>
      <c r="D3" s="8" t="s">
        <v>19</v>
      </c>
      <c r="E3" s="8" t="s">
        <v>85</v>
      </c>
      <c r="F3" s="8"/>
      <c r="G3" s="1">
        <v>0</v>
      </c>
      <c r="H3" s="1">
        <v>0</v>
      </c>
      <c r="J3" s="16" t="s">
        <v>238</v>
      </c>
      <c r="M3" s="17" t="s">
        <v>237</v>
      </c>
      <c r="N3" s="17"/>
    </row>
    <row r="4" spans="1:17" s="1" customFormat="1" ht="12.75">
      <c r="C4" s="8"/>
      <c r="D4" s="8"/>
      <c r="E4" s="8"/>
      <c r="F4" s="8"/>
    </row>
    <row r="5" spans="1:17" s="1" customFormat="1" ht="14.25">
      <c r="A5" s="1" t="s">
        <v>84</v>
      </c>
      <c r="C5" s="8"/>
      <c r="D5" s="8"/>
      <c r="E5" s="8"/>
      <c r="F5" s="8"/>
      <c r="G5" s="1" t="str">
        <f>IF(ISBLANK(D5),"",IF(ISNUMBER(VALUE(RIGHT(D5,1))),"",IF(UPPER(RIGHT(D5,7))="UNKNOWN","",0.1)))</f>
        <v/>
      </c>
      <c r="H5" s="1" t="str">
        <f>IF(ISBLANK(E5),"",IF(ISNUMBER(VALUE(RIGHT(E5,1))),"",IF(UPPER(RIGHT(E5,7))="UNKNOWN","",0.1)))</f>
        <v/>
      </c>
      <c r="J5" s="35" t="s">
        <v>235</v>
      </c>
      <c r="K5" s="1" t="str">
        <f>IF(UPPER(RIGHT(D5,7))="UNKNOWN","暫無解答",IF(ISBLANK(D5),"",IF(ISNUMBER(VALUE(RIGHT(D5,1))),"",D5)))</f>
        <v/>
      </c>
      <c r="L5" s="1" t="str">
        <f>IF(UPPER(RIGHT(E5,7))="UNKNOWN","暫無解答",IF(ISBLANK(E5),"",IF(ISNUMBER(VALUE(RIGHT(E5,1))),"",E5)))</f>
        <v/>
      </c>
    </row>
    <row r="6" spans="1:17" s="1" customFormat="1" ht="15.75">
      <c r="A6" s="1">
        <f>+A3+1</f>
        <v>2</v>
      </c>
      <c r="B6" s="1">
        <v>1101</v>
      </c>
      <c r="C6" s="8" t="s">
        <v>102</v>
      </c>
      <c r="D6" s="1" t="s">
        <v>456</v>
      </c>
      <c r="E6" s="1" t="s">
        <v>456</v>
      </c>
      <c r="F6" s="1" t="s">
        <v>32</v>
      </c>
      <c r="G6" s="1">
        <v>0.8</v>
      </c>
      <c r="H6" s="1">
        <v>0.4</v>
      </c>
      <c r="I6" s="36" t="s">
        <v>214</v>
      </c>
      <c r="J6" s="16" t="s">
        <v>93</v>
      </c>
      <c r="K6" s="41" t="s">
        <v>80</v>
      </c>
      <c r="L6" s="17" t="s">
        <v>89</v>
      </c>
      <c r="M6" s="17" t="s">
        <v>203</v>
      </c>
      <c r="P6" s="37"/>
    </row>
    <row r="7" spans="1:17" s="1" customFormat="1" ht="14.25">
      <c r="A7" s="1">
        <f>+A6+1</f>
        <v>3</v>
      </c>
      <c r="B7" s="1">
        <v>1102</v>
      </c>
      <c r="C7" s="8" t="s">
        <v>103</v>
      </c>
      <c r="D7" s="8" t="s">
        <v>82</v>
      </c>
      <c r="E7" s="8" t="s">
        <v>82</v>
      </c>
      <c r="F7" s="8" t="s">
        <v>82</v>
      </c>
      <c r="G7" s="1">
        <v>0.4</v>
      </c>
      <c r="H7" s="1">
        <v>0.2</v>
      </c>
      <c r="J7" s="17" t="s">
        <v>232</v>
      </c>
      <c r="K7" s="20" t="s">
        <v>231</v>
      </c>
      <c r="L7" s="17" t="s">
        <v>91</v>
      </c>
      <c r="M7" s="17" t="s">
        <v>241</v>
      </c>
      <c r="O7" s="1" t="s">
        <v>105</v>
      </c>
      <c r="P7" s="17" t="s">
        <v>233</v>
      </c>
    </row>
    <row r="8" spans="1:17" s="1" customFormat="1" ht="14.25">
      <c r="A8" s="1">
        <f>+A7+1</f>
        <v>4</v>
      </c>
      <c r="B8" s="3">
        <v>1103</v>
      </c>
      <c r="C8" s="8" t="s">
        <v>104</v>
      </c>
      <c r="D8" s="8" t="s">
        <v>21</v>
      </c>
      <c r="E8" s="8" t="s">
        <v>21</v>
      </c>
      <c r="F8" s="8" t="s">
        <v>21</v>
      </c>
      <c r="G8" s="1">
        <v>0.4</v>
      </c>
      <c r="H8" s="1">
        <v>0.2</v>
      </c>
      <c r="J8" s="17" t="s">
        <v>607</v>
      </c>
      <c r="K8" s="16" t="s">
        <v>106</v>
      </c>
      <c r="L8" s="17" t="s">
        <v>90</v>
      </c>
      <c r="M8" s="17" t="s">
        <v>240</v>
      </c>
      <c r="P8" s="1" t="s">
        <v>239</v>
      </c>
    </row>
    <row r="9" spans="1:17" s="1" customFormat="1" ht="14.25">
      <c r="B9" s="11"/>
      <c r="C9" s="11"/>
      <c r="D9" s="11"/>
      <c r="E9" s="11"/>
      <c r="F9" s="11"/>
      <c r="G9" s="11" t="s">
        <v>59</v>
      </c>
      <c r="H9" s="11" t="s">
        <v>60</v>
      </c>
      <c r="I9" s="11"/>
      <c r="J9" s="11"/>
      <c r="K9" s="11"/>
      <c r="L9" s="11"/>
      <c r="M9" s="11"/>
      <c r="N9" s="11"/>
    </row>
    <row r="10" spans="1:17" s="1" customFormat="1" ht="14.25">
      <c r="A10" s="1">
        <f>+A8+1</f>
        <v>5</v>
      </c>
      <c r="B10" s="11">
        <v>1100</v>
      </c>
      <c r="C10" s="9" t="s">
        <v>83</v>
      </c>
      <c r="D10" s="11" t="s">
        <v>457</v>
      </c>
      <c r="E10" s="11" t="s">
        <v>22</v>
      </c>
      <c r="F10" s="11"/>
      <c r="G10" s="11">
        <v>1</v>
      </c>
      <c r="H10" s="11">
        <v>1</v>
      </c>
      <c r="I10" s="11"/>
      <c r="J10" s="49" t="s">
        <v>77</v>
      </c>
      <c r="K10" s="11"/>
      <c r="L10" s="11"/>
      <c r="M10" s="11"/>
      <c r="N10" s="11"/>
      <c r="P10" s="1" t="s">
        <v>190</v>
      </c>
    </row>
    <row r="11" spans="1:17" s="1" customFormat="1" ht="14.25">
      <c r="B11" s="11"/>
      <c r="C11" s="11"/>
      <c r="D11" s="11"/>
      <c r="E11" s="11"/>
      <c r="F11" s="11"/>
      <c r="G11" s="27" t="s">
        <v>63</v>
      </c>
      <c r="H11" s="27" t="s">
        <v>63</v>
      </c>
      <c r="I11" s="11"/>
      <c r="J11" s="11"/>
      <c r="K11" s="11"/>
      <c r="L11" s="9"/>
      <c r="M11" s="11"/>
      <c r="N11" s="11"/>
    </row>
    <row r="12" spans="1:17" s="1" customFormat="1" ht="12.75">
      <c r="C12" s="8"/>
      <c r="D12" s="8"/>
      <c r="E12" s="8"/>
      <c r="F12" s="8"/>
    </row>
    <row r="13" spans="1:17" s="1" customFormat="1" ht="14.25">
      <c r="A13" s="1" t="s">
        <v>458</v>
      </c>
      <c r="C13" s="8"/>
      <c r="D13" s="8"/>
      <c r="E13" s="8"/>
      <c r="F13" s="8"/>
      <c r="G13" s="1" t="str">
        <f>IF(ISBLANK(D13),"",IF(ISNUMBER(VALUE(RIGHT(D13,1))),"",IF(UPPER(RIGHT(D13,7))="UNKNOWN","",0.1)))</f>
        <v/>
      </c>
      <c r="H13" s="1" t="str">
        <f>IF(ISBLANK(E13),"",IF(ISNUMBER(VALUE(RIGHT(E13,1))),"",IF(UPPER(RIGHT(E13,7))="UNKNOWN","",0.1)))</f>
        <v/>
      </c>
      <c r="J13" s="35" t="s">
        <v>78</v>
      </c>
      <c r="K13" s="1" t="str">
        <f>IF(UPPER(RIGHT(D13,7))="UNKNOWN","暫無解答",IF(ISBLANK(D13),"",IF(ISNUMBER(VALUE(RIGHT(D13,1))),"",D13)))</f>
        <v/>
      </c>
      <c r="L13" s="1" t="str">
        <f>IF(UPPER(RIGHT(E13,7))="UNKNOWN","暫無解答",IF(ISBLANK(E13),"",IF(ISNUMBER(VALUE(RIGHT(E13,1))),"",E13)))</f>
        <v/>
      </c>
    </row>
    <row r="14" spans="1:17" s="1" customFormat="1" ht="14.25">
      <c r="A14" s="1">
        <f>+A10+1</f>
        <v>6</v>
      </c>
      <c r="B14" s="1">
        <v>1201</v>
      </c>
      <c r="C14" s="8" t="s">
        <v>100</v>
      </c>
      <c r="D14" s="8" t="s">
        <v>416</v>
      </c>
      <c r="E14" s="8" t="s">
        <v>151</v>
      </c>
      <c r="F14" s="8" t="s">
        <v>24</v>
      </c>
      <c r="G14" s="1">
        <v>0.5</v>
      </c>
      <c r="H14" s="1">
        <v>1</v>
      </c>
      <c r="I14" s="36" t="str">
        <f>+I6</f>
        <v>N21</v>
      </c>
      <c r="J14" s="16" t="s">
        <v>244</v>
      </c>
      <c r="K14" s="16" t="s">
        <v>107</v>
      </c>
      <c r="L14" s="17" t="s">
        <v>88</v>
      </c>
      <c r="M14" s="17" t="s">
        <v>243</v>
      </c>
      <c r="N14" s="1" t="s">
        <v>245</v>
      </c>
      <c r="P14" s="1" t="s">
        <v>194</v>
      </c>
    </row>
    <row r="15" spans="1:17" s="1" customFormat="1" ht="14.25">
      <c r="A15" s="1">
        <f>+A14+1</f>
        <v>7</v>
      </c>
      <c r="B15" s="1">
        <v>1202</v>
      </c>
      <c r="C15" s="8" t="s">
        <v>101</v>
      </c>
      <c r="D15" s="8" t="s">
        <v>461</v>
      </c>
      <c r="E15" s="8" t="s">
        <v>135</v>
      </c>
      <c r="F15" s="8" t="s">
        <v>135</v>
      </c>
      <c r="G15" s="1">
        <v>0.2</v>
      </c>
      <c r="H15" s="1">
        <v>0</v>
      </c>
      <c r="I15" s="1" t="str">
        <f>IF(ISBLANK(B15),"",CONCATENATE("N",TEXT(B15,0),""))</f>
        <v>N1202</v>
      </c>
      <c r="J15" s="16" t="s">
        <v>94</v>
      </c>
      <c r="K15" s="16" t="s">
        <v>108</v>
      </c>
    </row>
    <row r="16" spans="1:17" s="1" customFormat="1" ht="14.25">
      <c r="A16" s="1">
        <f>+A15+1</f>
        <v>8</v>
      </c>
      <c r="B16" s="1">
        <v>1203</v>
      </c>
      <c r="C16" s="20" t="s">
        <v>459</v>
      </c>
      <c r="D16" s="8" t="s">
        <v>462</v>
      </c>
      <c r="E16" s="8" t="s">
        <v>136</v>
      </c>
      <c r="F16" s="8" t="s">
        <v>136</v>
      </c>
      <c r="G16" s="1">
        <v>0.2</v>
      </c>
      <c r="H16" s="1">
        <v>0</v>
      </c>
      <c r="I16" s="1" t="str">
        <f>IF(ISBLANK(B16),"",CONCATENATE("N",TEXT(B16,0),""))</f>
        <v>N1203</v>
      </c>
      <c r="J16" s="17" t="s">
        <v>95</v>
      </c>
      <c r="K16" s="16" t="s">
        <v>108</v>
      </c>
      <c r="M16" s="17" t="s">
        <v>242</v>
      </c>
      <c r="O16" s="17" t="s">
        <v>247</v>
      </c>
    </row>
    <row r="17" spans="1:17" s="1" customFormat="1" ht="14.25">
      <c r="A17" s="1">
        <f>+A16+1</f>
        <v>9</v>
      </c>
      <c r="B17" s="1">
        <v>1204</v>
      </c>
      <c r="C17" s="20" t="s">
        <v>460</v>
      </c>
      <c r="D17" s="8" t="s">
        <v>151</v>
      </c>
      <c r="E17" s="8" t="s">
        <v>151</v>
      </c>
      <c r="F17" s="8" t="s">
        <v>151</v>
      </c>
      <c r="G17" s="1">
        <v>0.2</v>
      </c>
      <c r="H17" s="1">
        <v>0</v>
      </c>
      <c r="I17" s="1" t="str">
        <f>IF(ISBLANK(B17),"",CONCATENATE("N",TEXT(B17,0),""))</f>
        <v>N1204</v>
      </c>
      <c r="J17" s="17" t="s">
        <v>96</v>
      </c>
      <c r="K17" s="16" t="s">
        <v>108</v>
      </c>
      <c r="L17" s="1" t="str">
        <f>IF(UPPER(RIGHT(E17,7))="UNKNOWN","暫無解答",IF(ISBLANK(E17),"",IF(ISNUMBER(VALUE(RIGHT(E17,1))),"",E17)))</f>
        <v/>
      </c>
      <c r="M17" s="17" t="s">
        <v>249</v>
      </c>
      <c r="O17" s="1" t="s">
        <v>248</v>
      </c>
    </row>
    <row r="18" spans="1:17" s="1" customFormat="1" ht="14.25">
      <c r="B18" s="11"/>
      <c r="C18" s="11"/>
      <c r="D18" s="11"/>
      <c r="E18" s="11"/>
      <c r="F18" s="11"/>
      <c r="G18" s="11" t="s">
        <v>59</v>
      </c>
      <c r="H18" s="11" t="s">
        <v>60</v>
      </c>
      <c r="I18" s="11"/>
      <c r="J18" s="11"/>
      <c r="K18" s="11"/>
      <c r="L18" s="11"/>
      <c r="M18" s="11"/>
      <c r="N18" s="11"/>
    </row>
    <row r="19" spans="1:17" s="1" customFormat="1" ht="14.25">
      <c r="A19" s="1">
        <f>+A17+1</f>
        <v>10</v>
      </c>
      <c r="B19" s="11">
        <v>1200</v>
      </c>
      <c r="C19" s="9" t="s">
        <v>69</v>
      </c>
      <c r="D19" s="11" t="s">
        <v>165</v>
      </c>
      <c r="E19" s="11" t="s">
        <v>68</v>
      </c>
      <c r="F19" s="11"/>
      <c r="G19" s="11">
        <v>1</v>
      </c>
      <c r="H19" s="11">
        <v>1</v>
      </c>
      <c r="I19" s="11"/>
      <c r="J19" s="49" t="s">
        <v>79</v>
      </c>
      <c r="K19" s="11"/>
      <c r="L19" s="11"/>
      <c r="M19" s="31"/>
      <c r="N19" s="11"/>
      <c r="O19" s="17" t="s">
        <v>246</v>
      </c>
    </row>
    <row r="20" spans="1:17" s="1" customFormat="1" ht="14.25">
      <c r="B20" s="11"/>
      <c r="C20" s="11"/>
      <c r="D20" s="11"/>
      <c r="E20" s="11"/>
      <c r="F20" s="11"/>
      <c r="G20" s="27" t="s">
        <v>63</v>
      </c>
      <c r="H20" s="27" t="s">
        <v>63</v>
      </c>
      <c r="I20" s="11"/>
      <c r="J20" s="11"/>
      <c r="K20" s="11"/>
      <c r="L20" s="9"/>
      <c r="M20" s="11"/>
      <c r="N20" s="11"/>
    </row>
    <row r="21" spans="1:17" s="1" customFormat="1" ht="12.75">
      <c r="C21" s="8"/>
      <c r="D21" s="8"/>
      <c r="E21" s="23"/>
      <c r="F21" s="23"/>
    </row>
    <row r="22" spans="1:17" s="1" customFormat="1" ht="14.25">
      <c r="A22" s="1" t="s">
        <v>463</v>
      </c>
      <c r="C22" s="8"/>
      <c r="D22" s="8"/>
      <c r="E22" s="8"/>
      <c r="F22" s="8"/>
      <c r="G22" s="1" t="str">
        <f>IF(ISBLANK(D22),"",IF(ISNUMBER(VALUE(RIGHT(D22,1))),"",IF(UPPER(RIGHT(D22,7))="UNKNOWN","",0.1)))</f>
        <v/>
      </c>
      <c r="H22" s="1" t="str">
        <f>IF(ISBLANK(E22),"",IF(ISNUMBER(VALUE(RIGHT(E22,1))),"",IF(UPPER(RIGHT(E22,7))="UNKNOWN","",0.1)))</f>
        <v/>
      </c>
      <c r="J22" s="35" t="s">
        <v>229</v>
      </c>
      <c r="K22" s="1" t="str">
        <f>IF(UPPER(RIGHT(D22,7))="UNKNOWN","暫無解答",IF(ISBLANK(D22),"",IF(ISNUMBER(VALUE(RIGHT(D22,1))),"",D22)))</f>
        <v/>
      </c>
      <c r="L22" s="1" t="str">
        <f>IF(UPPER(RIGHT(E22,7))="UNKNOWN","暫無解答",IF(ISBLANK(E22),"",IF(ISNUMBER(VALUE(RIGHT(E22,1))),"",E22)))</f>
        <v/>
      </c>
    </row>
    <row r="23" spans="1:17" s="1" customFormat="1" ht="14.25">
      <c r="A23" s="1">
        <f>+A19+1</f>
        <v>11</v>
      </c>
      <c r="B23" s="1">
        <v>1301</v>
      </c>
      <c r="C23" s="8" t="s">
        <v>98</v>
      </c>
      <c r="D23" s="8" t="s">
        <v>464</v>
      </c>
      <c r="E23" s="8" t="s">
        <v>465</v>
      </c>
      <c r="F23" s="8" t="s">
        <v>649</v>
      </c>
      <c r="G23" s="1">
        <v>0.4</v>
      </c>
      <c r="H23" s="1">
        <v>0.6</v>
      </c>
      <c r="I23" s="36" t="str">
        <f>+I6</f>
        <v>N21</v>
      </c>
      <c r="J23" s="16" t="s">
        <v>210</v>
      </c>
      <c r="K23" s="16" t="s">
        <v>195</v>
      </c>
      <c r="L23" s="17" t="s">
        <v>86</v>
      </c>
      <c r="M23" s="17" t="s">
        <v>188</v>
      </c>
    </row>
    <row r="24" spans="1:17" s="1" customFormat="1" ht="14.25">
      <c r="A24" s="1">
        <f>+A23+1</f>
        <v>12</v>
      </c>
      <c r="B24" s="1">
        <v>1302</v>
      </c>
      <c r="C24" s="71" t="s">
        <v>440</v>
      </c>
      <c r="D24" s="8" t="s">
        <v>112</v>
      </c>
      <c r="E24" s="8" t="s">
        <v>112</v>
      </c>
      <c r="F24" s="8" t="s">
        <v>112</v>
      </c>
      <c r="G24" s="1">
        <v>0.6</v>
      </c>
      <c r="H24" s="1">
        <v>0.4</v>
      </c>
      <c r="I24" s="1" t="str">
        <f>IF(ISBLANK(B24),"",CONCATENATE("N",TEXT(B24,0),""))</f>
        <v>N1302</v>
      </c>
      <c r="J24" s="71" t="s">
        <v>189</v>
      </c>
      <c r="K24" s="17" t="s">
        <v>196</v>
      </c>
      <c r="L24" s="17"/>
      <c r="M24" s="17" t="s">
        <v>198</v>
      </c>
      <c r="Q24" s="3"/>
    </row>
    <row r="25" spans="1:17" s="1" customFormat="1" ht="14.25">
      <c r="A25" s="1">
        <f>+A24+1</f>
        <v>13</v>
      </c>
      <c r="B25" s="1">
        <v>1303</v>
      </c>
      <c r="C25" s="51" t="s">
        <v>99</v>
      </c>
      <c r="D25" s="8" t="s">
        <v>465</v>
      </c>
      <c r="E25" s="8" t="s">
        <v>465</v>
      </c>
      <c r="F25" s="8" t="s">
        <v>465</v>
      </c>
      <c r="G25" s="1">
        <v>0.6</v>
      </c>
      <c r="H25" s="1">
        <v>0.4</v>
      </c>
      <c r="J25" s="70" t="s">
        <v>97</v>
      </c>
      <c r="K25" s="17" t="s">
        <v>200</v>
      </c>
      <c r="L25" s="17" t="s">
        <v>87</v>
      </c>
      <c r="M25" s="17" t="s">
        <v>202</v>
      </c>
      <c r="O25" s="1" t="s">
        <v>201</v>
      </c>
      <c r="P25" s="17" t="s">
        <v>197</v>
      </c>
      <c r="Q25" s="38" t="s">
        <v>726</v>
      </c>
    </row>
    <row r="26" spans="1:17" s="1" customFormat="1" ht="14.25">
      <c r="B26" s="11"/>
      <c r="C26" s="11"/>
      <c r="D26" s="11"/>
      <c r="E26" s="11"/>
      <c r="F26" s="11"/>
      <c r="G26" s="11" t="s">
        <v>59</v>
      </c>
      <c r="H26" s="11" t="s">
        <v>60</v>
      </c>
      <c r="I26" s="11"/>
      <c r="J26" s="11"/>
      <c r="K26" s="11"/>
      <c r="L26" s="11"/>
      <c r="M26" s="11"/>
      <c r="N26" s="11"/>
    </row>
    <row r="27" spans="1:17" s="1" customFormat="1" ht="14.25">
      <c r="A27" s="1">
        <f>+A25+1</f>
        <v>14</v>
      </c>
      <c r="B27" s="11">
        <v>1300</v>
      </c>
      <c r="C27" s="9" t="s">
        <v>70</v>
      </c>
      <c r="D27" s="11" t="s">
        <v>85</v>
      </c>
      <c r="E27" s="11" t="s">
        <v>68</v>
      </c>
      <c r="F27" s="11"/>
      <c r="G27" s="11">
        <v>1</v>
      </c>
      <c r="H27" s="11">
        <v>1</v>
      </c>
      <c r="I27" s="11"/>
      <c r="J27" s="49" t="s">
        <v>230</v>
      </c>
      <c r="K27" s="11"/>
      <c r="L27" s="11"/>
      <c r="M27" s="11"/>
      <c r="N27" s="11"/>
      <c r="O27" s="1" t="s">
        <v>199</v>
      </c>
    </row>
    <row r="28" spans="1:17" s="1" customFormat="1" ht="14.25">
      <c r="B28" s="11"/>
      <c r="C28" s="11"/>
      <c r="D28" s="11"/>
      <c r="E28" s="11"/>
      <c r="F28" s="11"/>
      <c r="G28" s="27" t="s">
        <v>63</v>
      </c>
      <c r="H28" s="27" t="s">
        <v>63</v>
      </c>
      <c r="I28" s="11"/>
      <c r="J28" s="11"/>
      <c r="K28" s="11"/>
      <c r="L28" s="9"/>
      <c r="M28" s="11"/>
      <c r="N28" s="11"/>
    </row>
    <row r="29" spans="1:17" s="1" customFormat="1" ht="12.75">
      <c r="C29" s="8"/>
      <c r="D29" s="8"/>
      <c r="E29" s="23"/>
      <c r="F29" s="23"/>
    </row>
    <row r="30" spans="1:17" s="1" customFormat="1" ht="12.75">
      <c r="A30" s="1">
        <f>+A27+1</f>
        <v>15</v>
      </c>
      <c r="B30" s="11">
        <v>0</v>
      </c>
      <c r="C30" s="8"/>
      <c r="D30" s="8"/>
      <c r="E30" s="8"/>
      <c r="F30" s="27" t="s">
        <v>76</v>
      </c>
      <c r="J30" s="1" t="str">
        <f>IF(ISBLANK(C30), "", C30)</f>
        <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SiteEvaluation</vt:lpstr>
      <vt:lpstr>Soils</vt:lpstr>
      <vt:lpstr>Nutrition</vt:lpstr>
      <vt:lpstr>PestDiseases</vt:lpstr>
      <vt:lpstr>Agromet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Yuan Shen</dc:creator>
  <cp:lastModifiedBy>Rogen</cp:lastModifiedBy>
  <dcterms:created xsi:type="dcterms:W3CDTF">2018-10-25T21:33:19Z</dcterms:created>
  <dcterms:modified xsi:type="dcterms:W3CDTF">2020-07-19T10:03:29Z</dcterms:modified>
</cp:coreProperties>
</file>